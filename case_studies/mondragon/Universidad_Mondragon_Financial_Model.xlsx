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mygroup-my.sharepoint.com/personal/aitor_bernal_hmy-group_com/Documents/Escritorio/IEB/Mondragon/"/>
    </mc:Choice>
  </mc:AlternateContent>
  <xr:revisionPtr revIDLastSave="34" documentId="13_ncr:1_{58FD376B-8E2F-42C0-AFEE-6FF8BA692ACE}" xr6:coauthVersionLast="47" xr6:coauthVersionMax="47" xr10:uidLastSave="{850D1422-2E0C-442D-8EF3-15C122C7F900}"/>
  <bookViews>
    <workbookView xWindow="-96" yWindow="-96" windowWidth="23232" windowHeight="12432" tabRatio="500" xr2:uid="{00000000-000D-0000-FFFF-FFFF00000000}"/>
  </bookViews>
  <sheets>
    <sheet name="Assumptions" sheetId="1" r:id="rId1"/>
    <sheet name="IS" sheetId="2" r:id="rId2"/>
    <sheet name="BS" sheetId="3" r:id="rId3"/>
    <sheet name="CF" sheetId="4" r:id="rId4"/>
    <sheet name="DCF" sheetId="5" r:id="rId5"/>
    <sheet name="LBO(No presentar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5" l="1"/>
  <c r="F23" i="5"/>
  <c r="F22" i="5"/>
  <c r="B31" i="5"/>
  <c r="F19" i="5"/>
  <c r="B10" i="8"/>
  <c r="B51" i="8"/>
  <c r="B53" i="8" s="1"/>
  <c r="B43" i="8"/>
  <c r="B12" i="8"/>
  <c r="B14" i="8" s="1"/>
  <c r="B16" i="8" l="1"/>
  <c r="B17" i="8" s="1"/>
  <c r="B25" i="8" l="1"/>
  <c r="B57" i="8" s="1"/>
  <c r="B24" i="8"/>
  <c r="C39" i="8" l="1"/>
  <c r="C42" i="8" s="1"/>
  <c r="B26" i="8"/>
  <c r="B28" i="8" s="1"/>
  <c r="C45" i="8" l="1"/>
  <c r="C43" i="8"/>
  <c r="C46" i="8" s="1"/>
  <c r="D39" i="8" l="1"/>
  <c r="D42" i="8" s="1"/>
  <c r="D45" i="8" l="1"/>
  <c r="D43" i="8"/>
  <c r="D46" i="8" s="1"/>
  <c r="E39" i="8" l="1"/>
  <c r="E42" i="8" s="1"/>
  <c r="E45" i="8" l="1"/>
  <c r="E43" i="8"/>
  <c r="E46" i="8" s="1"/>
  <c r="F39" i="8" l="1"/>
  <c r="F42" i="8" s="1"/>
  <c r="F45" i="8" l="1"/>
  <c r="F43" i="8"/>
  <c r="F46" i="8" s="1"/>
  <c r="G39" i="8" l="1"/>
  <c r="G42" i="8" s="1"/>
  <c r="G45" i="8" l="1"/>
  <c r="G43" i="8"/>
  <c r="G46" i="8" s="1"/>
  <c r="B54" i="8" l="1"/>
  <c r="B55" i="8" s="1"/>
  <c r="B57" i="5"/>
  <c r="B58" i="5" s="1"/>
  <c r="B30" i="1"/>
  <c r="B13" i="5" s="1"/>
  <c r="C8" i="5"/>
  <c r="D8" i="5"/>
  <c r="E8" i="5"/>
  <c r="F8" i="5"/>
  <c r="B8" i="5"/>
  <c r="C13" i="4"/>
  <c r="D13" i="4"/>
  <c r="E13" i="4"/>
  <c r="F13" i="4"/>
  <c r="B13" i="4"/>
  <c r="B10" i="4"/>
  <c r="D4" i="3"/>
  <c r="E4" i="3" s="1"/>
  <c r="F4" i="3" s="1"/>
  <c r="G4" i="3" s="1"/>
  <c r="C4" i="3"/>
  <c r="C6" i="4"/>
  <c r="D6" i="4"/>
  <c r="E6" i="4"/>
  <c r="F6" i="4"/>
  <c r="B6" i="4"/>
  <c r="B29" i="3"/>
  <c r="C17" i="3"/>
  <c r="C13" i="5"/>
  <c r="D13" i="5"/>
  <c r="E13" i="5"/>
  <c r="F13" i="5"/>
  <c r="C9" i="2"/>
  <c r="C21" i="3"/>
  <c r="F19" i="4"/>
  <c r="D19" i="4"/>
  <c r="C19" i="4"/>
  <c r="F18" i="4"/>
  <c r="E18" i="4"/>
  <c r="E19" i="4" s="1"/>
  <c r="D18" i="4"/>
  <c r="C18" i="4"/>
  <c r="F14" i="4"/>
  <c r="E14" i="4"/>
  <c r="D14" i="4"/>
  <c r="C14" i="4"/>
  <c r="B14" i="4"/>
  <c r="F9" i="4"/>
  <c r="E9" i="4"/>
  <c r="D9" i="4"/>
  <c r="C9" i="4"/>
  <c r="B9" i="4"/>
  <c r="B23" i="3"/>
  <c r="B15" i="3"/>
  <c r="B11" i="3"/>
  <c r="B6" i="3"/>
  <c r="B13" i="3" s="1"/>
  <c r="B13" i="2"/>
  <c r="B12" i="2"/>
  <c r="B17" i="2" s="1"/>
  <c r="B8" i="2"/>
  <c r="G7" i="2"/>
  <c r="F7" i="2"/>
  <c r="E7" i="2"/>
  <c r="D7" i="2"/>
  <c r="C7" i="2"/>
  <c r="G5" i="2"/>
  <c r="F5" i="2"/>
  <c r="E5" i="2"/>
  <c r="D5" i="2"/>
  <c r="C5" i="2"/>
  <c r="C4" i="2"/>
  <c r="B58" i="8" l="1"/>
  <c r="B59" i="8" s="1"/>
  <c r="B61" i="8"/>
  <c r="B62" i="8" s="1"/>
  <c r="B56" i="5"/>
  <c r="B42" i="5"/>
  <c r="B59" i="5"/>
  <c r="B25" i="3"/>
  <c r="B27" i="3" s="1"/>
  <c r="B18" i="4"/>
  <c r="B19" i="4" s="1"/>
  <c r="D14" i="5"/>
  <c r="F14" i="5"/>
  <c r="C14" i="5"/>
  <c r="C8" i="2"/>
  <c r="D4" i="2"/>
  <c r="C6" i="2"/>
  <c r="B18" i="2"/>
  <c r="B21" i="2"/>
  <c r="B14" i="5"/>
  <c r="E14" i="5"/>
  <c r="B43" i="5" l="1"/>
  <c r="B41" i="5"/>
  <c r="B55" i="5"/>
  <c r="B60" i="5"/>
  <c r="C15" i="2"/>
  <c r="C16" i="2"/>
  <c r="C8" i="3"/>
  <c r="C11" i="2"/>
  <c r="C12" i="2" s="1"/>
  <c r="C24" i="2"/>
  <c r="C20" i="2"/>
  <c r="B22" i="2"/>
  <c r="B26" i="2"/>
  <c r="B28" i="2" s="1"/>
  <c r="B29" i="2" s="1"/>
  <c r="E4" i="2"/>
  <c r="D6" i="2"/>
  <c r="D8" i="2" s="1"/>
  <c r="B40" i="5" l="1"/>
  <c r="B44" i="5"/>
  <c r="B61" i="5"/>
  <c r="D15" i="2"/>
  <c r="D21" i="3"/>
  <c r="D8" i="3"/>
  <c r="D20" i="2"/>
  <c r="D9" i="2"/>
  <c r="D16" i="2"/>
  <c r="D11" i="2"/>
  <c r="D12" i="2"/>
  <c r="D24" i="2"/>
  <c r="C6" i="3"/>
  <c r="C13" i="2"/>
  <c r="C17" i="2"/>
  <c r="E6" i="2"/>
  <c r="E8" i="2" s="1"/>
  <c r="F4" i="2"/>
  <c r="B7" i="4"/>
  <c r="B8" i="4"/>
  <c r="C23" i="3"/>
  <c r="C25" i="3" s="1"/>
  <c r="B45" i="5" l="1"/>
  <c r="E21" i="3"/>
  <c r="E8" i="3"/>
  <c r="E20" i="2"/>
  <c r="E16" i="2"/>
  <c r="E11" i="2"/>
  <c r="E12" i="2"/>
  <c r="E15" i="2"/>
  <c r="E24" i="2"/>
  <c r="E9" i="2"/>
  <c r="C21" i="2"/>
  <c r="C18" i="2"/>
  <c r="B9" i="5"/>
  <c r="B15" i="4"/>
  <c r="D17" i="2"/>
  <c r="D13" i="2"/>
  <c r="C7" i="4"/>
  <c r="D6" i="3"/>
  <c r="B10" i="5"/>
  <c r="F6" i="2"/>
  <c r="F8" i="2"/>
  <c r="G4" i="2"/>
  <c r="D23" i="3"/>
  <c r="D25" i="3" s="1"/>
  <c r="C8" i="4"/>
  <c r="B46" i="5" l="1"/>
  <c r="E23" i="3"/>
  <c r="E25" i="3" s="1"/>
  <c r="D8" i="4"/>
  <c r="D21" i="2"/>
  <c r="D18" i="2"/>
  <c r="G6" i="2"/>
  <c r="G8" i="2" s="1"/>
  <c r="F24" i="2"/>
  <c r="F11" i="2"/>
  <c r="F9" i="2"/>
  <c r="F12" i="2"/>
  <c r="F21" i="3"/>
  <c r="F15" i="2"/>
  <c r="F16" i="2"/>
  <c r="F8" i="3"/>
  <c r="F20" i="2"/>
  <c r="B5" i="5"/>
  <c r="C22" i="2"/>
  <c r="C26" i="2"/>
  <c r="C15" i="4"/>
  <c r="C9" i="5"/>
  <c r="E17" i="2"/>
  <c r="E13" i="2"/>
  <c r="E6" i="3"/>
  <c r="C10" i="5"/>
  <c r="D7" i="4"/>
  <c r="D10" i="5" s="1"/>
  <c r="G24" i="2" l="1"/>
  <c r="G11" i="2"/>
  <c r="G9" i="2"/>
  <c r="G16" i="2"/>
  <c r="G12" i="2"/>
  <c r="G20" i="2"/>
  <c r="G15" i="2"/>
  <c r="G21" i="3"/>
  <c r="G8" i="3"/>
  <c r="D15" i="4"/>
  <c r="D9" i="5"/>
  <c r="E8" i="4"/>
  <c r="F23" i="3"/>
  <c r="F25" i="3" s="1"/>
  <c r="F17" i="2"/>
  <c r="F13" i="2"/>
  <c r="F6" i="3"/>
  <c r="E21" i="2"/>
  <c r="E18" i="2"/>
  <c r="C27" i="2"/>
  <c r="C28" i="2" s="1"/>
  <c r="B6" i="5"/>
  <c r="B7" i="5" s="1"/>
  <c r="E7" i="4"/>
  <c r="E10" i="5" s="1"/>
  <c r="C5" i="5"/>
  <c r="D22" i="2"/>
  <c r="D26" i="2"/>
  <c r="B11" i="5" l="1"/>
  <c r="B15" i="5" s="1"/>
  <c r="B5" i="4"/>
  <c r="B21" i="4" s="1"/>
  <c r="C29" i="2"/>
  <c r="F7" i="4"/>
  <c r="G23" i="3"/>
  <c r="G25" i="3" s="1"/>
  <c r="F8" i="4"/>
  <c r="E26" i="2"/>
  <c r="D5" i="5"/>
  <c r="E22" i="2"/>
  <c r="E15" i="4"/>
  <c r="E9" i="5"/>
  <c r="G17" i="2"/>
  <c r="G13" i="2"/>
  <c r="D27" i="2"/>
  <c r="D28" i="2" s="1"/>
  <c r="C6" i="5"/>
  <c r="C7" i="5" s="1"/>
  <c r="F18" i="2"/>
  <c r="F21" i="2"/>
  <c r="C11" i="5" l="1"/>
  <c r="C15" i="5" s="1"/>
  <c r="C5" i="4"/>
  <c r="C10" i="4" s="1"/>
  <c r="C21" i="4" s="1"/>
  <c r="D29" i="2"/>
  <c r="F22" i="2"/>
  <c r="F26" i="2"/>
  <c r="E5" i="5"/>
  <c r="D6" i="5"/>
  <c r="D7" i="5"/>
  <c r="E27" i="2"/>
  <c r="E28" i="2"/>
  <c r="G6" i="3"/>
  <c r="F10" i="5"/>
  <c r="D17" i="3"/>
  <c r="C27" i="3"/>
  <c r="G18" i="2"/>
  <c r="G21" i="2"/>
  <c r="B20" i="4"/>
  <c r="C10" i="3" s="1"/>
  <c r="D11" i="5" l="1"/>
  <c r="D15" i="5" s="1"/>
  <c r="B23" i="4"/>
  <c r="C15" i="3"/>
  <c r="F9" i="5"/>
  <c r="F15" i="4"/>
  <c r="D5" i="4"/>
  <c r="D10" i="4" s="1"/>
  <c r="D21" i="4" s="1"/>
  <c r="E29" i="2"/>
  <c r="E6" i="5"/>
  <c r="E7" i="5" s="1"/>
  <c r="F27" i="2"/>
  <c r="F28" i="2" s="1"/>
  <c r="E17" i="3"/>
  <c r="D27" i="3"/>
  <c r="G22" i="2"/>
  <c r="G26" i="2"/>
  <c r="F5" i="5"/>
  <c r="C20" i="4"/>
  <c r="D10" i="3" s="1"/>
  <c r="E11" i="5" l="1"/>
  <c r="E15" i="5" s="1"/>
  <c r="F29" i="2"/>
  <c r="E5" i="4"/>
  <c r="E10" i="4" s="1"/>
  <c r="E21" i="4" s="1"/>
  <c r="G27" i="2"/>
  <c r="G28" i="2" s="1"/>
  <c r="D20" i="4"/>
  <c r="E10" i="3" s="1"/>
  <c r="F17" i="3"/>
  <c r="E27" i="3"/>
  <c r="C11" i="3"/>
  <c r="C13" i="3" s="1"/>
  <c r="C29" i="3" s="1"/>
  <c r="F6" i="5"/>
  <c r="F7" i="5" s="1"/>
  <c r="F11" i="5" s="1"/>
  <c r="F18" i="5" s="1"/>
  <c r="F20" i="5" s="1"/>
  <c r="F21" i="5" s="1"/>
  <c r="F15" i="5" l="1"/>
  <c r="B27" i="5" s="1"/>
  <c r="B29" i="5" s="1"/>
  <c r="B33" i="5" s="1"/>
  <c r="G29" i="2"/>
  <c r="F5" i="4"/>
  <c r="F10" i="4" s="1"/>
  <c r="F21" i="4" s="1"/>
  <c r="E20" i="4"/>
  <c r="F10" i="3" s="1"/>
  <c r="D15" i="3"/>
  <c r="D11" i="3"/>
  <c r="D13" i="3" s="1"/>
  <c r="D29" i="3" s="1"/>
  <c r="C23" i="4"/>
  <c r="F27" i="3"/>
  <c r="G17" i="3"/>
  <c r="G27" i="3" s="1"/>
  <c r="G61" i="5" l="1"/>
  <c r="G46" i="5"/>
  <c r="G60" i="5"/>
  <c r="G45" i="5"/>
  <c r="G59" i="5"/>
  <c r="G44" i="5"/>
  <c r="G58" i="5"/>
  <c r="G43" i="5"/>
  <c r="G57" i="5"/>
  <c r="G42" i="5"/>
  <c r="G56" i="5"/>
  <c r="G41" i="5"/>
  <c r="G55" i="5"/>
  <c r="G40" i="5"/>
  <c r="C58" i="5"/>
  <c r="C57" i="5"/>
  <c r="D57" i="5"/>
  <c r="E58" i="5"/>
  <c r="E57" i="5"/>
  <c r="F58" i="5"/>
  <c r="F57" i="5"/>
  <c r="C59" i="5"/>
  <c r="D58" i="5"/>
  <c r="C56" i="5"/>
  <c r="E56" i="5"/>
  <c r="F42" i="5"/>
  <c r="E42" i="5"/>
  <c r="D42" i="5"/>
  <c r="C42" i="5"/>
  <c r="D56" i="5"/>
  <c r="F56" i="5"/>
  <c r="E59" i="5"/>
  <c r="F59" i="5"/>
  <c r="D59" i="5"/>
  <c r="F55" i="5"/>
  <c r="C55" i="5"/>
  <c r="E41" i="5"/>
  <c r="D55" i="5"/>
  <c r="E55" i="5"/>
  <c r="F60" i="5"/>
  <c r="F41" i="5"/>
  <c r="C60" i="5"/>
  <c r="D41" i="5"/>
  <c r="D60" i="5"/>
  <c r="E60" i="5"/>
  <c r="C41" i="5"/>
  <c r="C43" i="5"/>
  <c r="D43" i="5"/>
  <c r="E43" i="5"/>
  <c r="F43" i="5"/>
  <c r="D44" i="5"/>
  <c r="D40" i="5"/>
  <c r="F44" i="5"/>
  <c r="C44" i="5"/>
  <c r="E44" i="5"/>
  <c r="F40" i="5"/>
  <c r="C40" i="5"/>
  <c r="E40" i="5"/>
  <c r="F61" i="5"/>
  <c r="E61" i="5"/>
  <c r="D61" i="5"/>
  <c r="C61" i="5"/>
  <c r="F45" i="5"/>
  <c r="E45" i="5"/>
  <c r="D45" i="5"/>
  <c r="C45" i="5"/>
  <c r="C46" i="5"/>
  <c r="E46" i="5"/>
  <c r="F46" i="5"/>
  <c r="D46" i="5"/>
  <c r="F20" i="4"/>
  <c r="G10" i="3" s="1"/>
  <c r="E15" i="3"/>
  <c r="E11" i="3"/>
  <c r="E13" i="3" s="1"/>
  <c r="E29" i="3" s="1"/>
  <c r="D23" i="4"/>
  <c r="F15" i="3" l="1"/>
  <c r="F23" i="4"/>
  <c r="F11" i="3"/>
  <c r="F13" i="3" s="1"/>
  <c r="F29" i="3" s="1"/>
  <c r="E23" i="4"/>
  <c r="G15" i="3" l="1"/>
  <c r="G11" i="3"/>
  <c r="G13" i="3" s="1"/>
  <c r="G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tc={5272F4F9-10C4-49B9-A473-9A78F97EEAE4}</author>
    <author>tc={1C05A9E9-4EDA-43A5-A5D0-94D1BBBC0048}</author>
    <author>tc={BB851417-4AF4-4F0C-BAD6-22A2E735D8C3}</author>
    <author>tc={AA11DE94-90E8-4288-BB72-B3C664731031}</author>
    <author>tc={D2A2FFB1-755D-4224-AA87-B24C097CD3E3}</author>
    <author>tc={7B45AF14-5B60-4245-95C2-E1676A1B4C2A}</author>
    <author>tc={8B000A9B-7816-4AC0-8872-84881BE82F67}</author>
    <author>tc={7280DD3D-978F-492D-B43D-083FE0283053}</author>
    <author>tc={90794AE3-2CFD-4FAC-84A8-77C4BE6B6733}</author>
    <author>tc={23F35D0F-A078-4E61-A32A-989306C07F92}</author>
    <author>tc={44A68F35-0635-4506-B95B-581190D7F37B}</author>
    <author>tc={1A448DDD-D001-4B6C-B86E-D3A983ACA0B4}</author>
    <author>tc={002BEA43-7B5D-4363-93E0-DB152B14D143}</author>
    <author>tc={28FF90F8-C952-4217-B1F0-9719AD21359D}</author>
    <author>tc={B6C17262-1815-42D0-B028-4FC716A8C94A}</author>
    <author>tc={74E12D17-3350-4CAC-9B3C-EEAD2836021F}</author>
    <author>tc={3FC5E792-6ED2-4F2B-81AB-74E080E26AEA}</author>
    <author>tc={55740408-4C3E-4D79-8061-2DF969C4835F}</author>
    <author>tc={38BC8D24-8648-41EE-A07F-57926B9E0450}</author>
  </authors>
  <commentList>
    <comment ref="A5" authorId="0" shapeId="0" xr:uid="{5272F4F9-10C4-49B9-A473-9A78F97EEA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Conservador vs histórico propio 11-15% y vs sector educación España 8-10% CAGR. </t>
      </text>
    </comment>
    <comment ref="A6" authorId="1" shapeId="0" xr:uid="{1C05A9E9-4EDA-43A5-A5D0-94D1BBBC00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nuevos másteres × 16 estudiantes/programa = 300 total en 5 años, muy conservador vs comparables (50-100/programa) </t>
      </text>
    </comment>
    <comment ref="A7" authorId="2" shapeId="0" xr:uid="{BB851417-4AF4-4F0C-BAD6-22A2E735D8C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60-75% del precio presencial, incremento 3.7% anual = inflación + pequeño plus de marca premium. </t>
      </text>
    </comment>
    <comment ref="A8" authorId="3" shapeId="0" xr:uid="{AA11DE94-90E8-4288-BB72-B3C664731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Crecimiento vía LatAm (idioma español) y online (sin visa). Pasamos de un 1% a un 10% del total del alumnado en 5 años</t>
      </text>
    </comment>
    <comment ref="A9" authorId="4" shapeId="0" xr:uid="{D2A2FFB1-755D-4224-AA87-B24C097CD3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Refleja valor título español en LatAm.</t>
      </text>
    </comment>
    <comment ref="A10" authorId="5" shapeId="0" xr:uid="{7B45AF14-5B60-4245-95C2-E1676A1B4C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Formaciones con empresas de la cooperativa Mondragón (70+ empresas), aporta un margen muy alto </t>
      </text>
    </comment>
    <comment ref="A14" authorId="6" shapeId="0" xr:uid="{8B000A9B-7816-4AC0-8872-84881BE82F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Promedio del sector educacion</t>
      </text>
    </comment>
    <comment ref="A15" authorId="7" shapeId="0" xr:uid="{7280DD3D-978F-492D-B43D-083FE02830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Subvenciones publicas muy constantes, bajan un poco al hacerse la empresa mas rentable.</t>
      </text>
    </comment>
    <comment ref="A16" authorId="8" shapeId="0" xr:uid="{90794AE3-2CFD-4FAC-84A8-77C4BE6B67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margen baja al cambiar el mix de educación hacia más formación online ya que requiere menos SG&amp;A</t>
      </text>
    </comment>
    <comment ref="A17" authorId="9" shapeId="0" xr:uid="{23F35D0F-A078-4E61-A32A-989306C07F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Capex baja, por lo tanto depreciación también.</t>
      </text>
    </comment>
    <comment ref="A21" authorId="10" shapeId="0" xr:uid="{44A68F35-0635-4506-B95B-581190D7F3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Mejora vía incentivos pago al momento (5-10% descuento)</t>
      </text>
    </comment>
    <comment ref="A22" authorId="11" shapeId="0" xr:uid="{1A448DDD-D001-4B6C-B86E-D3A983ACA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Baja tratando de buscar descuentos por prontopago a nuestros proveedores. Working Capital sigue mejorando por la bajada de los DSO.</t>
      </text>
    </comment>
    <comment ref="A23" authorId="12" shapeId="0" xr:uid="{002BEA43-7B5D-4363-93E0-DB152B14D14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en 2025 por la inversión en la plataforma online. </t>
      </text>
    </comment>
    <comment ref="A24" authorId="13" shapeId="0" xr:uid="{28FF90F8-C952-4217-B1F0-9719AD2135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Tax rate español SA</t>
      </text>
    </comment>
    <comment ref="B27" authorId="14" shapeId="0" xr:uid="{B6C17262-1815-42D0-B028-4FC716A8C9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español a 10 años</t>
      </text>
    </comment>
    <comment ref="B28" authorId="15" shapeId="0" xr:uid="{74E12D17-3350-4CAC-9B3C-EEAD283602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https://pages.stern.nyu.edu/~adamodar/
Lo he sacado de la aproximación actualizada de Damodaran</t>
      </text>
    </comment>
    <comment ref="B29" authorId="16" shapeId="0" xr:uid="{3FC5E792-6ED2-4F2B-81AB-74E080E26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 cogido la beta promedio del sector educación que calcula Damodaran. 0.98(https://pages.stern.nyu.edu/~adamodar/New_Home_Page/datafile/Betas.html)
Y le he aplicado un ajuste a la alta por la poca diversificación geográfica y su tamaño pequeño tamaño. 
</t>
      </text>
    </comment>
    <comment ref="B30" authorId="17" shapeId="0" xr:uid="{55740408-4C3E-4D79-8061-2DF969C483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el equity es el 99% de la financiación de la empresa aproximamos el WACC utilizando unicamente el CAPM.</t>
      </text>
    </comment>
    <comment ref="B31" authorId="18" shapeId="0" xr:uid="{38BC8D24-8648-41EE-A07F-57926B9E04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Considero un 2,5% basándome en las proyecciones de crecimiento del PIB español. Considero que cumplirá estas proyeciones por que Mondragon pertenece al sector educación que es muy estable y es una institución con muchos años de historia.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tc={9C3C3535-AC8C-4072-8993-4B855E6F23C2}</author>
  </authors>
  <commentList>
    <comment ref="F23" authorId="0" shapeId="0" xr:uid="{9C3C3535-AC8C-4072-8993-4B855E6F23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Utilizamos el terminal value aproximado por los multiplos de exit cogiendo el EBITDA del ultimo año de la proyección y un múltiplo de 8 - 9 x de transacciones comparables (Aplicamos ajustes a la baja en el múltiplo 12 -15x de sector por ser una cooperativa , por tamaño y por el riesgo de la ejecución del business plan )</t>
      </text>
    </comment>
  </commentList>
</comments>
</file>

<file path=xl/sharedStrings.xml><?xml version="1.0" encoding="utf-8"?>
<sst xmlns="http://schemas.openxmlformats.org/spreadsheetml/2006/main" count="240" uniqueCount="180">
  <si>
    <t>UNIVERSIDAD DE MONDRAGÓN - ASSUMPTIONS</t>
  </si>
  <si>
    <t>GROWTH ASSUMPTIONS</t>
  </si>
  <si>
    <t>Item</t>
  </si>
  <si>
    <t>FY 2025</t>
  </si>
  <si>
    <t>FY 2026</t>
  </si>
  <si>
    <t>FY 2027</t>
  </si>
  <si>
    <t>FY 2028</t>
  </si>
  <si>
    <t>FY 2029</t>
  </si>
  <si>
    <t>Revenue growth rate (%)</t>
  </si>
  <si>
    <t>Online expansion students</t>
  </si>
  <si>
    <t>Revenue per online student (€)</t>
  </si>
  <si>
    <t>International students (%)</t>
  </si>
  <si>
    <t>International premium (%)</t>
  </si>
  <si>
    <t>Corporate B2B revenue (€)</t>
  </si>
  <si>
    <t>OPERATING ASSUMPTIONS</t>
  </si>
  <si>
    <t>COGS / Sales (%)</t>
  </si>
  <si>
    <t>Other income / Sales (%)</t>
  </si>
  <si>
    <t>SG&amp;A / Sales (%)</t>
  </si>
  <si>
    <t>D&amp;A / Sales (%)</t>
  </si>
  <si>
    <t>BALANCE SHEET ASSUMPTIONS</t>
  </si>
  <si>
    <t>DSO (days)</t>
  </si>
  <si>
    <t>DPO (days)</t>
  </si>
  <si>
    <t>CAPEX / Sales (%)</t>
  </si>
  <si>
    <t>Tax rate (%)</t>
  </si>
  <si>
    <t>DCF ASSUMPTIONS</t>
  </si>
  <si>
    <t>Risk-free rate (%)</t>
  </si>
  <si>
    <t>Market risk premium (%)</t>
  </si>
  <si>
    <t>Beta</t>
  </si>
  <si>
    <t>Cost of Equity (%)</t>
  </si>
  <si>
    <t>Terminal growth rate (%)</t>
  </si>
  <si>
    <t>HISTORICAL DATA (FY 2024)</t>
  </si>
  <si>
    <t>Revenue</t>
  </si>
  <si>
    <t>EBITDA</t>
  </si>
  <si>
    <t>D&amp;A</t>
  </si>
  <si>
    <t>EBIT</t>
  </si>
  <si>
    <t>INCOME STATEMENT</t>
  </si>
  <si>
    <t>FY 2024</t>
  </si>
  <si>
    <t>Base revenue</t>
  </si>
  <si>
    <t xml:space="preserve">  + Online expansion</t>
  </si>
  <si>
    <t xml:space="preserve">  + International premium</t>
  </si>
  <si>
    <t xml:space="preserve">  + Corporate B2B</t>
  </si>
  <si>
    <t>TOTAL REVENUE</t>
  </si>
  <si>
    <t xml:space="preserve">  YoY Growth (%)</t>
  </si>
  <si>
    <t>COGS</t>
  </si>
  <si>
    <t>GROSS PROFIT</t>
  </si>
  <si>
    <t xml:space="preserve">  Gross Margin (%)</t>
  </si>
  <si>
    <t>Other income</t>
  </si>
  <si>
    <t>SG&amp;A</t>
  </si>
  <si>
    <t xml:space="preserve">  EBITDA Margin (%)</t>
  </si>
  <si>
    <t xml:space="preserve">  EBIT Margin (%)</t>
  </si>
  <si>
    <t>Financial income</t>
  </si>
  <si>
    <t>Financial expense</t>
  </si>
  <si>
    <t>EBT</t>
  </si>
  <si>
    <t>Tax</t>
  </si>
  <si>
    <t>NET INCOME</t>
  </si>
  <si>
    <t xml:space="preserve">  Net Margin (%)</t>
  </si>
  <si>
    <t>BALANCE SHEET</t>
  </si>
  <si>
    <t>PP&amp;E</t>
  </si>
  <si>
    <t>Other non-current assets</t>
  </si>
  <si>
    <t>TOTAL NON-CURRENT ASSETS</t>
  </si>
  <si>
    <t>Accounts receivable</t>
  </si>
  <si>
    <t>Other current assets</t>
  </si>
  <si>
    <t>Cash</t>
  </si>
  <si>
    <t>TOTAL CURRENT ASSETS</t>
  </si>
  <si>
    <t>TOTAL ASSETS</t>
  </si>
  <si>
    <t>Cash (reference)</t>
  </si>
  <si>
    <t>EQUITY</t>
  </si>
  <si>
    <t>Non-current liabilities</t>
  </si>
  <si>
    <t>Accounts payable</t>
  </si>
  <si>
    <t>Other current liabilities</t>
  </si>
  <si>
    <t>TOTAL CURRENT LIABILITIES</t>
  </si>
  <si>
    <t>TOTAL LIABILITIES</t>
  </si>
  <si>
    <t>TOTAL L&amp;E</t>
  </si>
  <si>
    <t>CHECK (must be 0)</t>
  </si>
  <si>
    <t>CASH FLOW STATEMENT</t>
  </si>
  <si>
    <t>OPERATING CF</t>
  </si>
  <si>
    <t>Net Income</t>
  </si>
  <si>
    <t xml:space="preserve">  + D&amp;A</t>
  </si>
  <si>
    <t>Change in AR</t>
  </si>
  <si>
    <t>Change in AP</t>
  </si>
  <si>
    <t>Other WC changes</t>
  </si>
  <si>
    <t>Operating CF</t>
  </si>
  <si>
    <t>INVESTING CF</t>
  </si>
  <si>
    <t>CAPEX</t>
  </si>
  <si>
    <t>Change in other non-current assets</t>
  </si>
  <si>
    <t>Investing CF</t>
  </si>
  <si>
    <t>FINANCING CF</t>
  </si>
  <si>
    <t>Change in debt</t>
  </si>
  <si>
    <t>Financing CF</t>
  </si>
  <si>
    <t>NET CHANGE IN CASH</t>
  </si>
  <si>
    <t>DCF VALUATION</t>
  </si>
  <si>
    <t xml:space="preserve">  Tax (24%)</t>
  </si>
  <si>
    <t>NOPAT</t>
  </si>
  <si>
    <t xml:space="preserve">  - CAPEX</t>
  </si>
  <si>
    <t xml:space="preserve">  - Change in NWC</t>
  </si>
  <si>
    <t>FREE CASH FLOW</t>
  </si>
  <si>
    <t>WACC</t>
  </si>
  <si>
    <t>Discount factor</t>
  </si>
  <si>
    <t>PV of FCF</t>
  </si>
  <si>
    <t>TERMINAL VALUE</t>
  </si>
  <si>
    <t>Terminal FCF</t>
  </si>
  <si>
    <t>Terminal growth rate</t>
  </si>
  <si>
    <t>PV of Terminal Value</t>
  </si>
  <si>
    <t>VALUATION</t>
  </si>
  <si>
    <t>Sum of PV of FCF</t>
  </si>
  <si>
    <t>ENTERPRISE VALUE</t>
  </si>
  <si>
    <t>(-) Net debt</t>
  </si>
  <si>
    <t>EQUITY VALUE</t>
  </si>
  <si>
    <t>SENSITIVITY ANALYSIS: ENTERPRISE VALUE (€M)</t>
  </si>
  <si>
    <t>Terminal Growth Rate (g) vs WACC</t>
  </si>
  <si>
    <t>WACC ↓ / g →</t>
  </si>
  <si>
    <t>1.5%</t>
  </si>
  <si>
    <t>2.0%</t>
  </si>
  <si>
    <t>2.5%</t>
  </si>
  <si>
    <t>3.0%</t>
  </si>
  <si>
    <t>3.5%</t>
  </si>
  <si>
    <t>SENSITIVITY ANALYSIS: EQUITY VALUE (€M)</t>
  </si>
  <si>
    <t>Debt / EBITDA</t>
  </si>
  <si>
    <t>Total Uses</t>
  </si>
  <si>
    <t>Medium</t>
  </si>
  <si>
    <t>Strong regional brand; differentiated model with cooperative heritage</t>
  </si>
  <si>
    <t>Competition intensifies</t>
  </si>
  <si>
    <t>Low</t>
  </si>
  <si>
    <t>Precedent exists in Spanish education sector; legal DD completed</t>
  </si>
  <si>
    <t>Regulatory hurdles in privatization</t>
  </si>
  <si>
    <t>Management buy-in secured; clear value proposition for all parties</t>
  </si>
  <si>
    <t>Resistance from cooperative stakeholders</t>
  </si>
  <si>
    <t>8% CAGR is conservative; multiple growth vectors (online, intl, B2B)</t>
  </si>
  <si>
    <t>Revenue growth below forecast</t>
  </si>
  <si>
    <t>Conservative 5-year timeline; sector benchmarks well-established</t>
  </si>
  <si>
    <t>Margin expansion slower than projected</t>
  </si>
  <si>
    <t>Probability</t>
  </si>
  <si>
    <t>Mitigation</t>
  </si>
  <si>
    <t>Risk</t>
  </si>
  <si>
    <t>KEY RISKS &amp; MITIGANTS</t>
  </si>
  <si>
    <t>IRR (5-year hold)</t>
  </si>
  <si>
    <t>MOIC (Money Multiple)</t>
  </si>
  <si>
    <t>Gross Return (€)</t>
  </si>
  <si>
    <t>Exit Equity Value</t>
  </si>
  <si>
    <t>Initial Equity Investment</t>
  </si>
  <si>
    <t>(-) Net Debt at Exit</t>
  </si>
  <si>
    <t>Exit Enterprise Value</t>
  </si>
  <si>
    <t>Exit EV / EBITDA Multiple</t>
  </si>
  <si>
    <t>Exit EBITDA (FY 2029)</t>
  </si>
  <si>
    <t>EXIT &amp; RETURNS</t>
  </si>
  <si>
    <t>Interest Expense</t>
  </si>
  <si>
    <t>Ending Balance</t>
  </si>
  <si>
    <t>(-) Cash Sweep</t>
  </si>
  <si>
    <t>(-) Mandatory Repayment</t>
  </si>
  <si>
    <t>(+) Drawdowns</t>
  </si>
  <si>
    <t>Beginning Balance</t>
  </si>
  <si>
    <t>DEBT SCHEDULE</t>
  </si>
  <si>
    <t>Minimum Cash (€)</t>
  </si>
  <si>
    <t>Cash Sweep</t>
  </si>
  <si>
    <t>Repayment Strategy</t>
  </si>
  <si>
    <t>Interest Rate (annual)</t>
  </si>
  <si>
    <t>DEBT ASSUMPTIONS</t>
  </si>
  <si>
    <t>Check (Should be 0)</t>
  </si>
  <si>
    <t>Total Sources</t>
  </si>
  <si>
    <t>Equity Financing (€)</t>
  </si>
  <si>
    <t>Debt Financing (€)</t>
  </si>
  <si>
    <t>Equity (% of Total Uses)</t>
  </si>
  <si>
    <t>Debt (% of Total Uses)</t>
  </si>
  <si>
    <t>FINANCING STRUCTURE</t>
  </si>
  <si>
    <t>Transaction Fees (€)</t>
  </si>
  <si>
    <t>Transaction Fees (%)</t>
  </si>
  <si>
    <t>Purchase Price</t>
  </si>
  <si>
    <t>Enterprise Value (Entry)</t>
  </si>
  <si>
    <t>Entry EV / EBITDA Multiple</t>
  </si>
  <si>
    <t>EBITDA (FY 2025E)</t>
  </si>
  <si>
    <t>Entry Valuation</t>
  </si>
  <si>
    <t>Exit Year</t>
  </si>
  <si>
    <t>Entry Year</t>
  </si>
  <si>
    <t>TRANSACTION ASSUMPTIONS</t>
  </si>
  <si>
    <t>LBO ANALYSIS - UNIVERSIDAD DE MONDRAGÓN</t>
  </si>
  <si>
    <t>Coste de la deuda: Vincularlo a la salud financiera de la compañía y a las condiciones actuales de mercado</t>
  </si>
  <si>
    <t>Terminal Value (g)</t>
  </si>
  <si>
    <t>PV of Terminal Value (g)</t>
  </si>
  <si>
    <t>Terminal Value (Exit Multiple)</t>
  </si>
  <si>
    <t>PV of Terminal Value (Exit 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</si>
</sst>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\(0.0%\);\-"/>
    <numFmt numFmtId="165" formatCode="#,##0;\(#,##0\);\-"/>
    <numFmt numFmtId="166" formatCode="0.0000"/>
    <numFmt numFmtId="167" formatCode="0.0%"/>
    <numFmt numFmtId="168" formatCode="0.00&quot;x&quot;"/>
    <numFmt numFmtId="169" formatCode="&quot;€&quot;#,##0"/>
    <numFmt numFmtId="170" formatCode="0.0&quot;x&quot;"/>
  </numFmts>
  <fonts count="2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Cambria"/>
      <charset val="1"/>
    </font>
    <font>
      <b/>
      <sz val="10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sz val="11"/>
      <color rgb="FF008000"/>
      <name val="Cambria"/>
      <charset val="1"/>
    </font>
    <font>
      <b/>
      <sz val="11"/>
      <color rgb="FFFF0000"/>
      <name val="Cambria"/>
      <charset val="1"/>
    </font>
    <font>
      <b/>
      <sz val="11"/>
      <color rgb="FF0000FF"/>
      <name val="Cambria"/>
      <charset val="1"/>
    </font>
    <font>
      <sz val="11"/>
      <color theme="1"/>
      <name val="Calibri"/>
      <family val="2"/>
      <charset val="1"/>
    </font>
    <font>
      <b/>
      <sz val="12"/>
      <name val="Cambria"/>
      <charset val="1"/>
    </font>
    <font>
      <i/>
      <sz val="10"/>
      <name val="Cambria"/>
      <charset val="1"/>
    </font>
    <font>
      <b/>
      <sz val="11"/>
      <color rgb="FFFFFFFF"/>
      <name val="Cambria"/>
      <charset val="1"/>
    </font>
    <font>
      <sz val="10"/>
      <name val="Cambria"/>
      <charset val="1"/>
    </font>
    <font>
      <i/>
      <sz val="9"/>
      <color rgb="FF666666"/>
      <name val="Cambria"/>
      <charset val="1"/>
    </font>
    <font>
      <b/>
      <sz val="11"/>
      <color rgb="FF4472C4"/>
      <name val="Cambria"/>
      <charset val="1"/>
    </font>
    <font>
      <sz val="9"/>
      <name val="Cambria"/>
      <charset val="1"/>
    </font>
    <font>
      <sz val="9"/>
      <color theme="1"/>
      <name val="Segoe UI"/>
      <family val="2"/>
    </font>
    <font>
      <b/>
      <u/>
      <sz val="11"/>
      <name val="Calibri"/>
    </font>
    <font>
      <b/>
      <sz val="13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name val="Calibri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CE6F1"/>
      </patternFill>
    </fill>
    <fill>
      <patternFill patternType="solid">
        <fgColor rgb="FF4472C4"/>
        <bgColor rgb="FF666666"/>
      </patternFill>
    </fill>
    <fill>
      <patternFill patternType="solid">
        <fgColor rgb="FFD9E1F2"/>
        <bgColor rgb="FFDCE6F1"/>
      </patternFill>
    </fill>
    <fill>
      <patternFill patternType="solid">
        <fgColor rgb="FFFFEB9C"/>
        <bgColor rgb="FFFFFFCC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0" xfId="0" applyNumberFormat="1" applyFont="1" applyFill="1"/>
    <xf numFmtId="165" fontId="5" fillId="3" borderId="0" xfId="0" applyNumberFormat="1" applyFont="1" applyFill="1"/>
    <xf numFmtId="164" fontId="6" fillId="0" borderId="0" xfId="0" applyNumberFormat="1" applyFont="1"/>
    <xf numFmtId="0" fontId="3" fillId="4" borderId="0" xfId="0" applyFont="1" applyFill="1"/>
    <xf numFmtId="165" fontId="5" fillId="0" borderId="0" xfId="0" applyNumberFormat="1" applyFont="1"/>
    <xf numFmtId="0" fontId="0" fillId="4" borderId="0" xfId="0" applyFill="1"/>
    <xf numFmtId="165" fontId="7" fillId="0" borderId="0" xfId="0" applyNumberFormat="1" applyFont="1"/>
    <xf numFmtId="0" fontId="3" fillId="0" borderId="0" xfId="0" applyFont="1"/>
    <xf numFmtId="165" fontId="6" fillId="0" borderId="0" xfId="0" applyNumberFormat="1" applyFont="1"/>
    <xf numFmtId="0" fontId="8" fillId="0" borderId="0" xfId="0" applyFont="1"/>
    <xf numFmtId="164" fontId="7" fillId="0" borderId="0" xfId="0" applyNumberFormat="1" applyFont="1"/>
    <xf numFmtId="166" fontId="6" fillId="0" borderId="0" xfId="0" applyNumberFormat="1" applyFont="1"/>
    <xf numFmtId="0" fontId="9" fillId="3" borderId="0" xfId="0" applyFont="1" applyFill="1"/>
    <xf numFmtId="2" fontId="5" fillId="3" borderId="0" xfId="0" applyNumberFormat="1" applyFont="1" applyFill="1"/>
    <xf numFmtId="165" fontId="0" fillId="0" borderId="0" xfId="0" applyNumberFormat="1"/>
    <xf numFmtId="9" fontId="0" fillId="0" borderId="0" xfId="1" applyFont="1"/>
    <xf numFmtId="0" fontId="12" fillId="0" borderId="0" xfId="0" applyFont="1"/>
    <xf numFmtId="0" fontId="13" fillId="5" borderId="1" xfId="0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right" vertical="center"/>
    </xf>
    <xf numFmtId="0" fontId="16" fillId="0" borderId="0" xfId="0" applyFont="1"/>
    <xf numFmtId="0" fontId="18" fillId="0" borderId="0" xfId="0" applyFont="1"/>
    <xf numFmtId="9" fontId="3" fillId="6" borderId="1" xfId="1" applyFont="1" applyFill="1" applyBorder="1" applyAlignment="1">
      <alignment horizontal="center" vertical="center"/>
    </xf>
    <xf numFmtId="167" fontId="3" fillId="6" borderId="1" xfId="1" applyNumberFormat="1" applyFont="1" applyFill="1" applyBorder="1" applyAlignment="1">
      <alignment horizontal="center" vertical="center"/>
    </xf>
    <xf numFmtId="0" fontId="1" fillId="0" borderId="0" xfId="2"/>
    <xf numFmtId="0" fontId="1" fillId="8" borderId="0" xfId="2" applyFill="1"/>
    <xf numFmtId="0" fontId="1" fillId="9" borderId="0" xfId="2" applyFill="1"/>
    <xf numFmtId="0" fontId="21" fillId="10" borderId="0" xfId="2" applyFont="1" applyFill="1"/>
    <xf numFmtId="167" fontId="22" fillId="9" borderId="0" xfId="0" applyNumberFormat="1" applyFont="1" applyFill="1"/>
    <xf numFmtId="168" fontId="22" fillId="9" borderId="0" xfId="0" applyNumberFormat="1" applyFont="1" applyFill="1"/>
    <xf numFmtId="169" fontId="0" fillId="12" borderId="0" xfId="0" applyNumberFormat="1" applyFill="1"/>
    <xf numFmtId="169" fontId="21" fillId="12" borderId="0" xfId="0" applyNumberFormat="1" applyFont="1" applyFill="1"/>
    <xf numFmtId="170" fontId="0" fillId="13" borderId="0" xfId="0" applyNumberFormat="1" applyFill="1"/>
    <xf numFmtId="170" fontId="0" fillId="12" borderId="0" xfId="0" applyNumberFormat="1" applyFill="1"/>
    <xf numFmtId="0" fontId="21" fillId="0" borderId="0" xfId="0" applyFont="1"/>
    <xf numFmtId="169" fontId="0" fillId="13" borderId="0" xfId="0" applyNumberFormat="1" applyFill="1"/>
    <xf numFmtId="167" fontId="0" fillId="13" borderId="0" xfId="0" applyNumberFormat="1" applyFill="1"/>
    <xf numFmtId="0" fontId="19" fillId="0" borderId="0" xfId="0" applyFont="1"/>
    <xf numFmtId="0" fontId="24" fillId="0" borderId="0" xfId="0" applyFont="1"/>
    <xf numFmtId="0" fontId="17" fillId="0" borderId="0" xfId="0" applyFont="1"/>
    <xf numFmtId="0" fontId="11" fillId="0" borderId="0" xfId="0" applyFont="1"/>
    <xf numFmtId="0" fontId="0" fillId="0" borderId="0" xfId="0"/>
    <xf numFmtId="0" fontId="15" fillId="0" borderId="0" xfId="0" applyFont="1"/>
    <xf numFmtId="0" fontId="23" fillId="11" borderId="0" xfId="0" applyFont="1" applyFill="1"/>
    <xf numFmtId="0" fontId="20" fillId="11" borderId="0" xfId="2" applyFont="1" applyFill="1"/>
    <xf numFmtId="0" fontId="1" fillId="0" borderId="0" xfId="2"/>
  </cellXfs>
  <cellStyles count="3">
    <cellStyle name="Normal" xfId="0" builtinId="0"/>
    <cellStyle name="Normal 2" xfId="2" xr:uid="{CD211571-8D0B-45D1-BE28-B8C3689AB7C0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itor BERNAL" id="{0E188A2B-B581-43EC-9BCC-48474DB36D0B}" userId="S::aitor.bernal@hmy-group.com::c802b195-92b9-4ef7-bac0-e9c1cb4e894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11-23T18:10:12.79" personId="{0E188A2B-B581-43EC-9BCC-48474DB36D0B}" id="{5272F4F9-10C4-49B9-A473-9A78F97EEAE4}">
    <text xml:space="preserve">Conservador vs histórico propio 11-15% y vs sector educación España 8-10% CAGR. </text>
  </threadedComment>
  <threadedComment ref="A6" dT="2025-11-23T18:10:52.83" personId="{0E188A2B-B581-43EC-9BCC-48474DB36D0B}" id="{1C05A9E9-4EDA-43A5-A5D0-94D1BBBC0048}">
    <text xml:space="preserve">5 nuevos másteres × 16 estudiantes/programa = 300 total en 5 años, muy conservador vs comparables (50-100/programa) </text>
  </threadedComment>
  <threadedComment ref="A7" dT="2025-11-23T18:11:34.71" personId="{0E188A2B-B581-43EC-9BCC-48474DB36D0B}" id="{BB851417-4AF4-4F0C-BAD6-22A2E735D8C3}">
    <text xml:space="preserve">60-75% del precio presencial, incremento 3.7% anual = inflación + pequeño plus de marca premium. </text>
  </threadedComment>
  <threadedComment ref="A8" dT="2025-11-23T18:13:07.53" personId="{0E188A2B-B581-43EC-9BCC-48474DB36D0B}" id="{AA11DE94-90E8-4288-BB72-B3C664731031}">
    <text>Crecimiento vía LatAm (idioma español) y online (sin visa). Pasamos de un 1% a un 10% del total del alumnado en 5 años</text>
  </threadedComment>
  <threadedComment ref="A9" dT="2025-11-23T18:13:23.71" personId="{0E188A2B-B581-43EC-9BCC-48474DB36D0B}" id="{D2A2FFB1-755D-4224-AA87-B24C097CD3E3}">
    <text>Refleja valor título español en LatAm.</text>
  </threadedComment>
  <threadedComment ref="A10" dT="2025-11-23T18:15:31.89" personId="{0E188A2B-B581-43EC-9BCC-48474DB36D0B}" id="{7B45AF14-5B60-4245-95C2-E1676A1B4C2A}">
    <text xml:space="preserve">Formaciones con empresas de la cooperativa Mondragón (70+ empresas), aporta un margen muy alto </text>
  </threadedComment>
  <threadedComment ref="A14" dT="2025-11-23T18:15:53.40" personId="{0E188A2B-B581-43EC-9BCC-48474DB36D0B}" id="{8B000A9B-7816-4AC0-8872-84881BE82F67}">
    <text>Promedio del sector educacion</text>
  </threadedComment>
  <threadedComment ref="A15" dT="2025-11-23T18:16:44.86" personId="{0E188A2B-B581-43EC-9BCC-48474DB36D0B}" id="{7280DD3D-978F-492D-B43D-083FE0283053}">
    <text>Subvenciones publicas muy constantes, bajan un poco al hacerse la empresa mas rentable.</text>
  </threadedComment>
  <threadedComment ref="A16" dT="2025-11-23T18:17:52.14" personId="{0E188A2B-B581-43EC-9BCC-48474DB36D0B}" id="{90794AE3-2CFD-4FAC-84A8-77C4BE6B6733}">
    <text>Este margen baja al cambiar el mix de educación hacia más formación online ya que requiere menos SG&amp;A</text>
  </threadedComment>
  <threadedComment ref="A17" dT="2025-11-23T18:18:30.89" personId="{0E188A2B-B581-43EC-9BCC-48474DB36D0B}" id="{23F35D0F-A078-4E61-A32A-989306C07F92}">
    <text>Capex baja, por lo tanto depreciación también.</text>
  </threadedComment>
  <threadedComment ref="A21" dT="2025-11-23T18:21:08.71" personId="{0E188A2B-B581-43EC-9BCC-48474DB36D0B}" id="{44A68F35-0635-4506-B95B-581190D7F37B}">
    <text>Mejora vía incentivos pago al momento (5-10% descuento)</text>
  </threadedComment>
  <threadedComment ref="A22" dT="2025-11-23T18:22:06.12" personId="{0E188A2B-B581-43EC-9BCC-48474DB36D0B}" id="{1A448DDD-D001-4B6C-B86E-D3A983ACA0B4}">
    <text xml:space="preserve">
Baja tratando de buscar descuentos por prontopago a nuestros proveedores. Working Capital sigue mejorando por la bajada de los DSO.</text>
  </threadedComment>
  <threadedComment ref="A23" dT="2025-11-23T18:22:45.60" personId="{0E188A2B-B581-43EC-9BCC-48474DB36D0B}" id="{002BEA43-7B5D-4363-93E0-DB152B14D143}">
    <text xml:space="preserve">Aumenta en 2025 por la inversión en la plataforma online. </text>
  </threadedComment>
  <threadedComment ref="A24" dT="2025-11-23T18:24:01.30" personId="{0E188A2B-B581-43EC-9BCC-48474DB36D0B}" id="{28FF90F8-C952-4217-B1F0-9719AD21359D}">
    <text>Tax rate español SA</text>
  </threadedComment>
  <threadedComment ref="B27" dT="2025-11-23T16:02:16.71" personId="{0E188A2B-B581-43EC-9BCC-48474DB36D0B}" id="{B6C17262-1815-42D0-B028-4FC716A8C94A}">
    <text>Bono español a 10 años</text>
  </threadedComment>
  <threadedComment ref="B28" dT="2025-11-23T16:05:30.77" personId="{0E188A2B-B581-43EC-9BCC-48474DB36D0B}" id="{74E12D17-3350-4CAC-9B3C-EEAD2836021F}">
    <text>https://pages.stern.nyu.edu/~adamodar/
Lo he sacado de la aproximación actualizada de Damodaran</text>
    <extLst>
      <x:ext xmlns:xltc2="http://schemas.microsoft.com/office/spreadsheetml/2020/threadedcomments2" uri="{F7C98A9C-CBB3-438F-8F68-D28B6AF4A901}">
        <xltc2:checksum>251572929</xltc2:checksum>
        <xltc2:hyperlink startIndex="0" length="38" url="https://pages.stern.nyu.edu/~adamodar/"/>
      </x:ext>
    </extLst>
  </threadedComment>
  <threadedComment ref="B29" dT="2025-11-23T16:24:05.64" personId="{0E188A2B-B581-43EC-9BCC-48474DB36D0B}" id="{3FC5E792-6ED2-4F2B-81AB-74E080E26AEA}">
    <text xml:space="preserve">He cogido la beta promedio del sector educación que calcula Damodaran. 0.98(https://pages.stern.nyu.edu/~adamodar/New_Home_Page/datafile/Betas.html)
Y le he aplicado un ajuste a la alta por la poca diversificación geográfica y su tamaño pequeño tamaño. 
</text>
  </threadedComment>
  <threadedComment ref="B30" dT="2025-11-23T16:31:32.74" personId="{0E188A2B-B581-43EC-9BCC-48474DB36D0B}" id="{55740408-4C3E-4D79-8061-2DF969C4835F}">
    <text>Como el equity es el 99% de la financiación de la empresa aproximamos el WACC utilizando unicamente el CAPM.</text>
  </threadedComment>
  <threadedComment ref="B31" dT="2025-11-23T16:14:24.99" personId="{0E188A2B-B581-43EC-9BCC-48474DB36D0B}" id="{38BC8D24-8648-41EE-A07F-57926B9E0450}">
    <text>Considero un 2,5% basándome en las proyecciones de crecimiento del PIB español. Considero que cumplirá estas proyeciones por que Mondragon pertenece al sector educación que es muy estable y es una institución con muchos años de historia.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3" dT="2025-11-24T21:14:46.89" personId="{0E188A2B-B581-43EC-9BCC-48474DB36D0B}" id="{9C3C3535-AC8C-4072-8993-4B855E6F23C2}">
    <text>Utilizamos el terminal value aproximado por los multiplos de exit cogiendo el EBITDA del ultimo año de la proyección y un múltiplo de 8 - 9 x de transacciones comparables (Aplicamos ajustes a la baja en el múltiplo 12 -15x de sector por ser una cooperativa , por tamaño y por el riesgo de la ejecución del business plan 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Normal="100" workbookViewId="0">
      <selection activeCell="F11" sqref="F11"/>
    </sheetView>
  </sheetViews>
  <sheetFormatPr baseColWidth="10" defaultColWidth="8.6640625" defaultRowHeight="14.4" x14ac:dyDescent="0.3"/>
  <cols>
    <col min="1" max="1" width="35" customWidth="1"/>
    <col min="2" max="6" width="14" customWidth="1"/>
  </cols>
  <sheetData>
    <row r="1" spans="1:6" ht="17.25" customHeight="1" x14ac:dyDescent="0.3">
      <c r="A1" s="1" t="s">
        <v>0</v>
      </c>
    </row>
    <row r="3" spans="1:6" ht="15" customHeight="1" x14ac:dyDescent="0.3">
      <c r="A3" s="2" t="s">
        <v>1</v>
      </c>
    </row>
    <row r="4" spans="1:6" ht="15" customHeight="1" x14ac:dyDescent="0.3">
      <c r="A4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5" customHeight="1" x14ac:dyDescent="0.3">
      <c r="A5" t="s">
        <v>8</v>
      </c>
      <c r="B5" s="4">
        <v>0.08</v>
      </c>
      <c r="C5" s="4">
        <v>7.4999999999999997E-2</v>
      </c>
      <c r="D5" s="4">
        <v>7.0000000000000007E-2</v>
      </c>
      <c r="E5" s="4">
        <v>6.5000000000000002E-2</v>
      </c>
      <c r="F5" s="4">
        <v>0.06</v>
      </c>
    </row>
    <row r="6" spans="1:6" ht="15" customHeight="1" x14ac:dyDescent="0.3">
      <c r="A6" t="s">
        <v>9</v>
      </c>
      <c r="B6" s="5">
        <v>60</v>
      </c>
      <c r="C6" s="5">
        <v>80</v>
      </c>
      <c r="D6" s="5">
        <v>80</v>
      </c>
      <c r="E6" s="5">
        <v>80</v>
      </c>
      <c r="F6" s="5">
        <v>80</v>
      </c>
    </row>
    <row r="7" spans="1:6" ht="15" customHeight="1" x14ac:dyDescent="0.3">
      <c r="A7" t="s">
        <v>10</v>
      </c>
      <c r="B7" s="5">
        <v>4000</v>
      </c>
      <c r="C7" s="5">
        <v>4200</v>
      </c>
      <c r="D7" s="5">
        <v>4400</v>
      </c>
      <c r="E7" s="5">
        <v>4600</v>
      </c>
      <c r="F7" s="5">
        <v>4800</v>
      </c>
    </row>
    <row r="8" spans="1:6" ht="15" customHeight="1" x14ac:dyDescent="0.3">
      <c r="A8" t="s">
        <v>11</v>
      </c>
      <c r="B8" s="4">
        <v>0.02</v>
      </c>
      <c r="C8" s="4">
        <v>0.04</v>
      </c>
      <c r="D8" s="4">
        <v>0.06</v>
      </c>
      <c r="E8" s="4">
        <v>0.08</v>
      </c>
      <c r="F8" s="4">
        <v>0.1</v>
      </c>
    </row>
    <row r="9" spans="1:6" ht="15" customHeight="1" x14ac:dyDescent="0.3">
      <c r="A9" t="s">
        <v>12</v>
      </c>
      <c r="B9" s="4">
        <v>0.15</v>
      </c>
      <c r="C9" s="4">
        <v>0.15</v>
      </c>
      <c r="D9" s="4">
        <v>0.15</v>
      </c>
      <c r="E9" s="4">
        <v>0.15</v>
      </c>
      <c r="F9" s="4">
        <v>0.15</v>
      </c>
    </row>
    <row r="10" spans="1:6" ht="15" customHeight="1" x14ac:dyDescent="0.3">
      <c r="A10" t="s">
        <v>13</v>
      </c>
      <c r="B10" s="5">
        <v>250000</v>
      </c>
      <c r="C10" s="5">
        <v>500000</v>
      </c>
      <c r="D10" s="5">
        <v>750000</v>
      </c>
      <c r="E10" s="5">
        <v>1000000</v>
      </c>
      <c r="F10" s="5">
        <v>1200000</v>
      </c>
    </row>
    <row r="12" spans="1:6" ht="15" customHeight="1" x14ac:dyDescent="0.3">
      <c r="A12" s="2" t="s">
        <v>14</v>
      </c>
    </row>
    <row r="13" spans="1:6" ht="15" customHeight="1" x14ac:dyDescent="0.3">
      <c r="A1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</row>
    <row r="14" spans="1:6" ht="15" customHeight="1" x14ac:dyDescent="0.3">
      <c r="A14" t="s">
        <v>15</v>
      </c>
      <c r="B14" s="4">
        <v>2E-3</v>
      </c>
      <c r="C14" s="4">
        <v>1.9E-3</v>
      </c>
      <c r="D14" s="4">
        <v>1.8E-3</v>
      </c>
      <c r="E14" s="4">
        <v>1.8E-3</v>
      </c>
      <c r="F14" s="4">
        <v>1.6999999999999999E-3</v>
      </c>
    </row>
    <row r="15" spans="1:6" ht="15" customHeight="1" x14ac:dyDescent="0.3">
      <c r="A15" t="s">
        <v>16</v>
      </c>
      <c r="B15" s="4">
        <v>0.182</v>
      </c>
      <c r="C15" s="4">
        <v>0.17499999999999999</v>
      </c>
      <c r="D15" s="4">
        <v>0.17</v>
      </c>
      <c r="E15" s="4">
        <v>0.16500000000000001</v>
      </c>
      <c r="F15" s="4">
        <v>0.16</v>
      </c>
    </row>
    <row r="16" spans="1:6" ht="15" customHeight="1" x14ac:dyDescent="0.3">
      <c r="A16" t="s">
        <v>17</v>
      </c>
      <c r="B16" s="4">
        <v>1.1200000000000001</v>
      </c>
      <c r="C16" s="4">
        <v>1.07</v>
      </c>
      <c r="D16" s="4">
        <v>1.03</v>
      </c>
      <c r="E16" s="4">
        <v>1</v>
      </c>
      <c r="F16" s="4">
        <v>0.98</v>
      </c>
    </row>
    <row r="17" spans="1:11" ht="15" customHeight="1" x14ac:dyDescent="0.3">
      <c r="A17" t="s">
        <v>18</v>
      </c>
      <c r="B17" s="4">
        <v>7.0000000000000001E-3</v>
      </c>
      <c r="C17" s="4">
        <v>7.0000000000000001E-3</v>
      </c>
      <c r="D17" s="4">
        <v>6.0000000000000001E-3</v>
      </c>
      <c r="E17" s="4">
        <v>6.0000000000000001E-3</v>
      </c>
      <c r="F17" s="4">
        <v>6.0000000000000001E-3</v>
      </c>
    </row>
    <row r="19" spans="1:11" ht="15" customHeight="1" x14ac:dyDescent="0.3">
      <c r="A19" s="2" t="s">
        <v>19</v>
      </c>
    </row>
    <row r="20" spans="1:11" ht="15" customHeight="1" x14ac:dyDescent="0.3">
      <c r="A20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11" ht="15" customHeight="1" x14ac:dyDescent="0.3">
      <c r="A21" t="s">
        <v>20</v>
      </c>
      <c r="B21" s="5">
        <v>68</v>
      </c>
      <c r="C21" s="5">
        <v>65</v>
      </c>
      <c r="D21" s="5">
        <v>63</v>
      </c>
      <c r="E21" s="5">
        <v>60</v>
      </c>
      <c r="F21" s="5">
        <v>60</v>
      </c>
    </row>
    <row r="22" spans="1:11" ht="15" customHeight="1" x14ac:dyDescent="0.3">
      <c r="A22" t="s">
        <v>21</v>
      </c>
      <c r="B22" s="5">
        <v>56</v>
      </c>
      <c r="C22" s="5">
        <v>55</v>
      </c>
      <c r="D22" s="5">
        <v>54</v>
      </c>
      <c r="E22" s="5">
        <v>53</v>
      </c>
      <c r="F22" s="5">
        <v>52</v>
      </c>
      <c r="K22" s="25"/>
    </row>
    <row r="23" spans="1:11" ht="15" customHeight="1" x14ac:dyDescent="0.3">
      <c r="A23" t="s">
        <v>22</v>
      </c>
      <c r="B23" s="4">
        <v>2.5000000000000001E-2</v>
      </c>
      <c r="C23" s="4">
        <v>2.3E-2</v>
      </c>
      <c r="D23" s="4">
        <v>0.02</v>
      </c>
      <c r="E23" s="4">
        <v>1.7999999999999999E-2</v>
      </c>
      <c r="F23" s="4">
        <v>1.7999999999999999E-2</v>
      </c>
    </row>
    <row r="24" spans="1:11" ht="15" customHeight="1" x14ac:dyDescent="0.3">
      <c r="A24" t="s">
        <v>23</v>
      </c>
      <c r="B24" s="4">
        <v>0.24</v>
      </c>
      <c r="C24" s="4">
        <v>0.24</v>
      </c>
      <c r="D24" s="4">
        <v>0.24</v>
      </c>
      <c r="E24" s="4">
        <v>0.24</v>
      </c>
      <c r="F24" s="4">
        <v>0.24</v>
      </c>
    </row>
    <row r="26" spans="1:11" ht="15" customHeight="1" x14ac:dyDescent="0.3">
      <c r="A26" s="2" t="s">
        <v>24</v>
      </c>
    </row>
    <row r="27" spans="1:11" ht="15" customHeight="1" x14ac:dyDescent="0.3">
      <c r="A27" t="s">
        <v>25</v>
      </c>
      <c r="B27" s="4">
        <v>3.2000000000000001E-2</v>
      </c>
    </row>
    <row r="28" spans="1:11" ht="15" customHeight="1" x14ac:dyDescent="0.3">
      <c r="A28" t="s">
        <v>26</v>
      </c>
      <c r="B28" s="4">
        <v>6.9400000000000003E-2</v>
      </c>
    </row>
    <row r="29" spans="1:11" ht="15" customHeight="1" x14ac:dyDescent="0.3">
      <c r="A29" t="s">
        <v>27</v>
      </c>
      <c r="B29" s="17">
        <v>1.25</v>
      </c>
    </row>
    <row r="30" spans="1:11" ht="15" customHeight="1" x14ac:dyDescent="0.3">
      <c r="A30" t="s">
        <v>28</v>
      </c>
      <c r="B30" s="6">
        <f>(B27+B28*B29)</f>
        <v>0.11875000000000001</v>
      </c>
    </row>
    <row r="31" spans="1:11" ht="15" customHeight="1" x14ac:dyDescent="0.3">
      <c r="A31" t="s">
        <v>29</v>
      </c>
      <c r="B31" s="4">
        <v>2.5000000000000001E-2</v>
      </c>
    </row>
    <row r="32" spans="1:11" x14ac:dyDescent="0.3">
      <c r="B32" s="6"/>
    </row>
    <row r="34" spans="1:2" ht="15" customHeight="1" x14ac:dyDescent="0.3">
      <c r="A34" s="7" t="s">
        <v>30</v>
      </c>
    </row>
    <row r="35" spans="1:2" ht="15" customHeight="1" x14ac:dyDescent="0.3">
      <c r="A35" t="s">
        <v>31</v>
      </c>
      <c r="B35" s="8">
        <v>19599359</v>
      </c>
    </row>
    <row r="36" spans="1:2" ht="15" customHeight="1" x14ac:dyDescent="0.3">
      <c r="A36" t="s">
        <v>32</v>
      </c>
      <c r="B36" s="8">
        <v>88799</v>
      </c>
    </row>
    <row r="37" spans="1:2" ht="15" customHeight="1" x14ac:dyDescent="0.3">
      <c r="A37" t="s">
        <v>33</v>
      </c>
      <c r="B37" s="8">
        <v>133762</v>
      </c>
    </row>
    <row r="38" spans="1:2" ht="15" customHeight="1" x14ac:dyDescent="0.3">
      <c r="A38" t="s">
        <v>34</v>
      </c>
      <c r="B38" s="8">
        <v>-44963</v>
      </c>
    </row>
  </sheetData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11" zoomScaleNormal="100" workbookViewId="0">
      <selection activeCell="G18" sqref="G18"/>
    </sheetView>
  </sheetViews>
  <sheetFormatPr baseColWidth="10" defaultColWidth="8.6640625" defaultRowHeight="14.4" x14ac:dyDescent="0.3"/>
  <cols>
    <col min="1" max="1" width="30" customWidth="1"/>
    <col min="2" max="7" width="14" customWidth="1"/>
  </cols>
  <sheetData>
    <row r="1" spans="1:7" ht="17.25" customHeight="1" x14ac:dyDescent="0.3">
      <c r="A1" s="1" t="s">
        <v>35</v>
      </c>
    </row>
    <row r="3" spans="1:7" ht="15" customHeight="1" x14ac:dyDescent="0.3">
      <c r="A3" t="s">
        <v>2</v>
      </c>
      <c r="B3" s="9" t="s">
        <v>36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5" customHeight="1" x14ac:dyDescent="0.3">
      <c r="A4" t="s">
        <v>37</v>
      </c>
      <c r="B4" s="8">
        <v>19599359</v>
      </c>
      <c r="C4" s="10">
        <f>B4*(1+Assumptions!B5)</f>
        <v>21167307.720000003</v>
      </c>
      <c r="D4" s="10">
        <f>C4*(1+Assumptions!C5)</f>
        <v>22754855.799000002</v>
      </c>
      <c r="E4" s="10">
        <f>D4*(1+Assumptions!D5)</f>
        <v>24347695.704930004</v>
      </c>
      <c r="F4" s="10">
        <f>E4*(1+Assumptions!E5)</f>
        <v>25930295.925750453</v>
      </c>
      <c r="G4" s="10">
        <f>F4*(1+Assumptions!F5)</f>
        <v>27486113.681295481</v>
      </c>
    </row>
    <row r="5" spans="1:7" ht="15" customHeight="1" x14ac:dyDescent="0.3">
      <c r="A5" t="s">
        <v>38</v>
      </c>
      <c r="B5" s="8">
        <v>0</v>
      </c>
      <c r="C5" s="10">
        <f>Assumptions!B6*Assumptions!B7</f>
        <v>240000</v>
      </c>
      <c r="D5" s="10">
        <f>Assumptions!C6*Assumptions!C7</f>
        <v>336000</v>
      </c>
      <c r="E5" s="10">
        <f>Assumptions!D6*Assumptions!D7</f>
        <v>352000</v>
      </c>
      <c r="F5" s="10">
        <f>Assumptions!E6*Assumptions!E7</f>
        <v>368000</v>
      </c>
      <c r="G5" s="10">
        <f>Assumptions!F6*Assumptions!F7</f>
        <v>384000</v>
      </c>
    </row>
    <row r="6" spans="1:7" ht="15" customHeight="1" x14ac:dyDescent="0.3">
      <c r="A6" t="s">
        <v>39</v>
      </c>
      <c r="B6" s="8">
        <v>0</v>
      </c>
      <c r="C6" s="10">
        <f>C4*Assumptions!B8*Assumptions!B9</f>
        <v>63501.923160000006</v>
      </c>
      <c r="D6" s="10">
        <f>D4*Assumptions!C8*Assumptions!C9</f>
        <v>136529.13479400001</v>
      </c>
      <c r="E6" s="10">
        <f>E4*Assumptions!D8*Assumptions!D9</f>
        <v>219129.26134437002</v>
      </c>
      <c r="F6" s="10">
        <f>F4*Assumptions!E8*Assumptions!E9</f>
        <v>311163.55110900541</v>
      </c>
      <c r="G6" s="10">
        <f>G4*Assumptions!F8*Assumptions!F9</f>
        <v>412291.70521943219</v>
      </c>
    </row>
    <row r="7" spans="1:7" ht="15" customHeight="1" x14ac:dyDescent="0.3">
      <c r="A7" t="s">
        <v>40</v>
      </c>
      <c r="B7" s="8">
        <v>0</v>
      </c>
      <c r="C7" s="10">
        <f>Assumptions!B10</f>
        <v>250000</v>
      </c>
      <c r="D7" s="10">
        <f>Assumptions!C10</f>
        <v>500000</v>
      </c>
      <c r="E7" s="10">
        <f>Assumptions!D10</f>
        <v>750000</v>
      </c>
      <c r="F7" s="10">
        <f>Assumptions!E10</f>
        <v>1000000</v>
      </c>
      <c r="G7" s="10">
        <f>Assumptions!F10</f>
        <v>1200000</v>
      </c>
    </row>
    <row r="8" spans="1:7" ht="15" customHeight="1" x14ac:dyDescent="0.3">
      <c r="A8" s="11" t="s">
        <v>41</v>
      </c>
      <c r="B8" s="12">
        <f t="shared" ref="B8:G8" si="0">SUM(B4:B7)</f>
        <v>19599359</v>
      </c>
      <c r="C8" s="12">
        <f t="shared" si="0"/>
        <v>21720809.643160004</v>
      </c>
      <c r="D8" s="12">
        <f t="shared" si="0"/>
        <v>23727384.933794003</v>
      </c>
      <c r="E8" s="12">
        <f t="shared" si="0"/>
        <v>25668824.966274373</v>
      </c>
      <c r="F8" s="12">
        <f t="shared" si="0"/>
        <v>27609459.476859458</v>
      </c>
      <c r="G8" s="12">
        <f t="shared" si="0"/>
        <v>29482405.386514913</v>
      </c>
    </row>
    <row r="9" spans="1:7" ht="15" customHeight="1" x14ac:dyDescent="0.3">
      <c r="A9" t="s">
        <v>42</v>
      </c>
      <c r="C9" s="6">
        <f>C8/B8-1</f>
        <v>0.10824081762878079</v>
      </c>
      <c r="D9" s="6">
        <f>D8/C8-1</f>
        <v>9.2380317474301865E-2</v>
      </c>
      <c r="E9" s="6">
        <f>E8/D8-1</f>
        <v>8.1822756190685464E-2</v>
      </c>
      <c r="F9" s="6">
        <f>F8/E8-1</f>
        <v>7.5602779368936224E-2</v>
      </c>
      <c r="G9" s="6">
        <f>G8/F8-1</f>
        <v>6.7837108916429356E-2</v>
      </c>
    </row>
    <row r="11" spans="1:7" ht="15" customHeight="1" x14ac:dyDescent="0.3">
      <c r="A11" t="s">
        <v>43</v>
      </c>
      <c r="B11" s="8">
        <v>-39703</v>
      </c>
      <c r="C11" s="10">
        <f>-C8*Assumptions!B14</f>
        <v>-43441.619286320012</v>
      </c>
      <c r="D11" s="10">
        <f>-D8*Assumptions!C14</f>
        <v>-45082.031374208607</v>
      </c>
      <c r="E11" s="10">
        <f>-E8*Assumptions!D14</f>
        <v>-46203.884939293872</v>
      </c>
      <c r="F11" s="10">
        <f>-F8*Assumptions!E14</f>
        <v>-49697.027058347019</v>
      </c>
      <c r="G11" s="10">
        <f>-G8*Assumptions!F14</f>
        <v>-50120.089157075352</v>
      </c>
    </row>
    <row r="12" spans="1:7" ht="15" customHeight="1" x14ac:dyDescent="0.3">
      <c r="A12" s="11" t="s">
        <v>44</v>
      </c>
      <c r="B12" s="12">
        <f t="shared" ref="B12:G12" si="1">B8+B11</f>
        <v>19559656</v>
      </c>
      <c r="C12" s="12">
        <f t="shared" si="1"/>
        <v>21677368.023873683</v>
      </c>
      <c r="D12" s="12">
        <f t="shared" si="1"/>
        <v>23682302.902419794</v>
      </c>
      <c r="E12" s="12">
        <f t="shared" si="1"/>
        <v>25622621.081335079</v>
      </c>
      <c r="F12" s="12">
        <f t="shared" si="1"/>
        <v>27559762.44980111</v>
      </c>
      <c r="G12" s="12">
        <f t="shared" si="1"/>
        <v>29432285.297357839</v>
      </c>
    </row>
    <row r="13" spans="1:7" ht="15" customHeight="1" x14ac:dyDescent="0.3">
      <c r="A13" t="s">
        <v>45</v>
      </c>
      <c r="B13" s="6">
        <f t="shared" ref="B13:G13" si="2">B12/B8</f>
        <v>0.99797427048507048</v>
      </c>
      <c r="C13" s="6">
        <f t="shared" si="2"/>
        <v>0.998</v>
      </c>
      <c r="D13" s="6">
        <f t="shared" si="2"/>
        <v>0.99809999999999999</v>
      </c>
      <c r="E13" s="6">
        <f t="shared" si="2"/>
        <v>0.99819999999999998</v>
      </c>
      <c r="F13" s="6">
        <f t="shared" si="2"/>
        <v>0.99819999999999998</v>
      </c>
      <c r="G13" s="6">
        <f t="shared" si="2"/>
        <v>0.99830000000000008</v>
      </c>
    </row>
    <row r="15" spans="1:7" ht="15" customHeight="1" x14ac:dyDescent="0.3">
      <c r="A15" t="s">
        <v>46</v>
      </c>
      <c r="B15" s="8">
        <v>3576770</v>
      </c>
      <c r="C15" s="10">
        <f>C8*Assumptions!B15</f>
        <v>3953187.3550551208</v>
      </c>
      <c r="D15" s="10">
        <f>D8*Assumptions!C15</f>
        <v>4152292.3634139504</v>
      </c>
      <c r="E15" s="10">
        <f>E8*Assumptions!D15</f>
        <v>4363700.2442666441</v>
      </c>
      <c r="F15" s="10">
        <f>F8*Assumptions!E15</f>
        <v>4555560.8136818111</v>
      </c>
      <c r="G15" s="10">
        <f>G8*Assumptions!F15</f>
        <v>4717184.8618423864</v>
      </c>
    </row>
    <row r="16" spans="1:7" ht="15" customHeight="1" x14ac:dyDescent="0.3">
      <c r="A16" t="s">
        <v>47</v>
      </c>
      <c r="B16" s="8">
        <v>-23047627</v>
      </c>
      <c r="C16" s="10">
        <f>-C8*Assumptions!B16</f>
        <v>-24327306.800339207</v>
      </c>
      <c r="D16" s="10">
        <f>-D8*Assumptions!C16</f>
        <v>-25388301.879159585</v>
      </c>
      <c r="E16" s="10">
        <f>-E8*Assumptions!D16</f>
        <v>-26438889.715262607</v>
      </c>
      <c r="F16" s="10">
        <f>-F8*Assumptions!E16</f>
        <v>-27609459.476859458</v>
      </c>
      <c r="G16" s="10">
        <f>-G8*Assumptions!F16</f>
        <v>-28892757.278784614</v>
      </c>
    </row>
    <row r="17" spans="1:7" ht="15" customHeight="1" x14ac:dyDescent="0.3">
      <c r="A17" s="11" t="s">
        <v>32</v>
      </c>
      <c r="B17" s="12">
        <f t="shared" ref="B17:G17" si="3">B12+B15+B16</f>
        <v>88799</v>
      </c>
      <c r="C17" s="12">
        <f t="shared" si="3"/>
        <v>1303248.5785895959</v>
      </c>
      <c r="D17" s="12">
        <f t="shared" si="3"/>
        <v>2446293.3866741583</v>
      </c>
      <c r="E17" s="12">
        <f t="shared" si="3"/>
        <v>3547431.6103391163</v>
      </c>
      <c r="F17" s="12">
        <f t="shared" si="3"/>
        <v>4505863.786623463</v>
      </c>
      <c r="G17" s="12">
        <f t="shared" si="3"/>
        <v>5256712.8804156072</v>
      </c>
    </row>
    <row r="18" spans="1:7" ht="15" customHeight="1" x14ac:dyDescent="0.3">
      <c r="A18" t="s">
        <v>48</v>
      </c>
      <c r="B18" s="6">
        <f t="shared" ref="B18:G18" si="4">B17/B8</f>
        <v>4.5307093971797751E-3</v>
      </c>
      <c r="C18" s="6">
        <f t="shared" si="4"/>
        <v>5.9999999999999797E-2</v>
      </c>
      <c r="D18" s="6">
        <f t="shared" si="4"/>
        <v>0.10309999999999986</v>
      </c>
      <c r="E18" s="6">
        <f t="shared" si="4"/>
        <v>0.13819999999999991</v>
      </c>
      <c r="F18" s="6">
        <f t="shared" si="4"/>
        <v>0.16319999999999998</v>
      </c>
      <c r="G18" s="6">
        <f t="shared" si="4"/>
        <v>0.17829999999999993</v>
      </c>
    </row>
    <row r="20" spans="1:7" ht="15" customHeight="1" x14ac:dyDescent="0.3">
      <c r="A20" t="s">
        <v>33</v>
      </c>
      <c r="B20" s="8">
        <v>-133762</v>
      </c>
      <c r="C20" s="10">
        <f>-C8*Assumptions!B17</f>
        <v>-152045.66750212002</v>
      </c>
      <c r="D20" s="10">
        <f>-D8*Assumptions!C17</f>
        <v>-166091.69453655803</v>
      </c>
      <c r="E20" s="10">
        <f>-E8*Assumptions!D17</f>
        <v>-154012.94979764623</v>
      </c>
      <c r="F20" s="10">
        <f>-F8*Assumptions!E17</f>
        <v>-165656.75686115675</v>
      </c>
      <c r="G20" s="10">
        <f>-G8*Assumptions!F17</f>
        <v>-176894.43231908948</v>
      </c>
    </row>
    <row r="21" spans="1:7" ht="15" customHeight="1" x14ac:dyDescent="0.3">
      <c r="A21" s="11" t="s">
        <v>34</v>
      </c>
      <c r="B21" s="12">
        <f t="shared" ref="B21:G21" si="5">B17+B20</f>
        <v>-44963</v>
      </c>
      <c r="C21" s="12">
        <f t="shared" si="5"/>
        <v>1151202.9110874757</v>
      </c>
      <c r="D21" s="12">
        <f t="shared" si="5"/>
        <v>2280201.6921376004</v>
      </c>
      <c r="E21" s="12">
        <f t="shared" si="5"/>
        <v>3393418.6605414702</v>
      </c>
      <c r="F21" s="12">
        <f t="shared" si="5"/>
        <v>4340207.0297623063</v>
      </c>
      <c r="G21" s="12">
        <f t="shared" si="5"/>
        <v>5079818.4480965175</v>
      </c>
    </row>
    <row r="22" spans="1:7" ht="15" customHeight="1" x14ac:dyDescent="0.3">
      <c r="A22" t="s">
        <v>49</v>
      </c>
      <c r="B22" s="6">
        <f t="shared" ref="B22:G22" si="6">B21/B8</f>
        <v>-2.2941056388629854E-3</v>
      </c>
      <c r="C22" s="6">
        <f t="shared" si="6"/>
        <v>5.299999999999979E-2</v>
      </c>
      <c r="D22" s="6">
        <f t="shared" si="6"/>
        <v>9.6099999999999866E-2</v>
      </c>
      <c r="E22" s="6">
        <f t="shared" si="6"/>
        <v>0.13219999999999993</v>
      </c>
      <c r="F22" s="6">
        <f t="shared" si="6"/>
        <v>0.15719999999999998</v>
      </c>
      <c r="G22" s="6">
        <f t="shared" si="6"/>
        <v>0.17229999999999993</v>
      </c>
    </row>
    <row r="24" spans="1:7" ht="15" customHeight="1" x14ac:dyDescent="0.3">
      <c r="A24" t="s">
        <v>50</v>
      </c>
      <c r="B24" s="8">
        <v>235683</v>
      </c>
      <c r="C24" s="12">
        <f>C8*0.012</f>
        <v>260649.71571792004</v>
      </c>
      <c r="D24" s="12">
        <f>D8*0.012</f>
        <v>284728.61920552806</v>
      </c>
      <c r="E24" s="12">
        <f>E8*0.012</f>
        <v>308025.89959529246</v>
      </c>
      <c r="F24" s="12">
        <f>F8*0.012</f>
        <v>331313.51372231351</v>
      </c>
      <c r="G24" s="12">
        <f>G8*0.012</f>
        <v>353788.86463817896</v>
      </c>
    </row>
    <row r="25" spans="1:7" ht="15" customHeight="1" x14ac:dyDescent="0.3">
      <c r="A25" t="s">
        <v>51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</row>
    <row r="26" spans="1:7" ht="15" customHeight="1" x14ac:dyDescent="0.3">
      <c r="A26" s="11" t="s">
        <v>52</v>
      </c>
      <c r="B26" s="12">
        <f t="shared" ref="B26:G26" si="7">B21+B24+B25</f>
        <v>190720</v>
      </c>
      <c r="C26" s="12">
        <f t="shared" si="7"/>
        <v>1411852.6268053958</v>
      </c>
      <c r="D26" s="12">
        <f t="shared" si="7"/>
        <v>2564930.3113431283</v>
      </c>
      <c r="E26" s="12">
        <f t="shared" si="7"/>
        <v>3701444.5601367624</v>
      </c>
      <c r="F26" s="12">
        <f t="shared" si="7"/>
        <v>4671520.5434846198</v>
      </c>
      <c r="G26" s="12">
        <f t="shared" si="7"/>
        <v>5433607.3127346961</v>
      </c>
    </row>
    <row r="27" spans="1:7" ht="15" customHeight="1" x14ac:dyDescent="0.3">
      <c r="A27" t="s">
        <v>53</v>
      </c>
      <c r="B27" s="8">
        <v>0</v>
      </c>
      <c r="C27" s="10">
        <f>-C26*Assumptions!B24</f>
        <v>-338844.63043329498</v>
      </c>
      <c r="D27" s="10">
        <f>-D26*Assumptions!C24</f>
        <v>-615583.27472235076</v>
      </c>
      <c r="E27" s="10">
        <f>-E26*Assumptions!D24</f>
        <v>-888346.69443282299</v>
      </c>
      <c r="F27" s="10">
        <f>-F26*Assumptions!E24</f>
        <v>-1121164.9304363087</v>
      </c>
      <c r="G27" s="10">
        <f>-G26*Assumptions!F24</f>
        <v>-1304065.755056327</v>
      </c>
    </row>
    <row r="28" spans="1:7" ht="15" customHeight="1" x14ac:dyDescent="0.3">
      <c r="A28" s="11" t="s">
        <v>54</v>
      </c>
      <c r="B28" s="12">
        <f t="shared" ref="B28:G28" si="8">B26+B27</f>
        <v>190720</v>
      </c>
      <c r="C28" s="12">
        <f t="shared" si="8"/>
        <v>1073007.9963721009</v>
      </c>
      <c r="D28" s="12">
        <f t="shared" si="8"/>
        <v>1949347.0366207776</v>
      </c>
      <c r="E28" s="12">
        <f t="shared" si="8"/>
        <v>2813097.8657039395</v>
      </c>
      <c r="F28" s="12">
        <f t="shared" si="8"/>
        <v>3550355.6130483113</v>
      </c>
      <c r="G28" s="12">
        <f t="shared" si="8"/>
        <v>4129541.5576783689</v>
      </c>
    </row>
    <row r="29" spans="1:7" ht="15" customHeight="1" x14ac:dyDescent="0.3">
      <c r="A29" t="s">
        <v>55</v>
      </c>
      <c r="B29" s="6">
        <f t="shared" ref="B29:G29" si="9">B28/B8</f>
        <v>9.7309304860429355E-3</v>
      </c>
      <c r="C29" s="6">
        <f t="shared" si="9"/>
        <v>4.9399999999999847E-2</v>
      </c>
      <c r="D29" s="6">
        <f t="shared" si="9"/>
        <v>8.2155999999999896E-2</v>
      </c>
      <c r="E29" s="6">
        <f t="shared" si="9"/>
        <v>0.10959199999999994</v>
      </c>
      <c r="F29" s="6">
        <f t="shared" si="9"/>
        <v>0.12859199999999998</v>
      </c>
      <c r="G29" s="6">
        <f t="shared" si="9"/>
        <v>0.14006799999999994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zoomScaleNormal="100" workbookViewId="0">
      <selection activeCell="C21" sqref="C21"/>
    </sheetView>
  </sheetViews>
  <sheetFormatPr baseColWidth="10" defaultColWidth="8.6640625" defaultRowHeight="14.4" x14ac:dyDescent="0.3"/>
  <cols>
    <col min="1" max="1" width="30" customWidth="1"/>
    <col min="2" max="7" width="14" customWidth="1"/>
  </cols>
  <sheetData>
    <row r="1" spans="1:7" ht="17.25" customHeight="1" x14ac:dyDescent="0.3">
      <c r="A1" s="1" t="s">
        <v>56</v>
      </c>
    </row>
    <row r="3" spans="1:7" ht="15" customHeight="1" x14ac:dyDescent="0.3">
      <c r="A3" t="s">
        <v>2</v>
      </c>
      <c r="B3" s="9" t="s">
        <v>36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5" customHeight="1" x14ac:dyDescent="0.3">
      <c r="A4" t="s">
        <v>57</v>
      </c>
      <c r="B4" s="8">
        <v>1039342</v>
      </c>
      <c r="C4" s="10">
        <f>B4+IS!C8*Assumptions!B23 + IS!C20</f>
        <v>1430316.5735768802</v>
      </c>
      <c r="D4" s="10">
        <f>C4+IS!D8*Assumptions!C23 + IS!D20</f>
        <v>1809954.732517584</v>
      </c>
      <c r="E4" s="10">
        <f>D4+IS!E8*Assumptions!D23 + IS!E20</f>
        <v>2169318.2820454254</v>
      </c>
      <c r="F4" s="10">
        <f>E4+IS!F8*Assumptions!E23 + IS!F20</f>
        <v>2500631.7957677389</v>
      </c>
      <c r="G4" s="10">
        <f>F4+IS!G8*Assumptions!F23 + IS!G20</f>
        <v>2854420.660405918</v>
      </c>
    </row>
    <row r="5" spans="1:7" ht="15" customHeight="1" x14ac:dyDescent="0.3">
      <c r="A5" t="s">
        <v>58</v>
      </c>
      <c r="B5" s="8">
        <v>4383541</v>
      </c>
      <c r="C5" s="8">
        <v>4570000</v>
      </c>
      <c r="D5" s="8">
        <v>4750000</v>
      </c>
      <c r="E5" s="8">
        <v>4930000</v>
      </c>
      <c r="F5" s="8">
        <v>5110000</v>
      </c>
      <c r="G5" s="8">
        <v>5290000</v>
      </c>
    </row>
    <row r="6" spans="1:7" ht="15" customHeight="1" x14ac:dyDescent="0.3">
      <c r="A6" s="11" t="s">
        <v>59</v>
      </c>
      <c r="B6" s="12">
        <f t="shared" ref="B6:G6" si="0">B4+B5</f>
        <v>5422883</v>
      </c>
      <c r="C6" s="12">
        <f t="shared" si="0"/>
        <v>6000316.5735768806</v>
      </c>
      <c r="D6" s="12">
        <f t="shared" si="0"/>
        <v>6559954.7325175842</v>
      </c>
      <c r="E6" s="12">
        <f t="shared" si="0"/>
        <v>7099318.2820454258</v>
      </c>
      <c r="F6" s="12">
        <f t="shared" si="0"/>
        <v>7610631.7957677394</v>
      </c>
      <c r="G6" s="12">
        <f t="shared" si="0"/>
        <v>8144420.660405918</v>
      </c>
    </row>
    <row r="8" spans="1:7" ht="15" customHeight="1" x14ac:dyDescent="0.3">
      <c r="A8" t="s">
        <v>60</v>
      </c>
      <c r="B8" s="8">
        <v>3625643</v>
      </c>
      <c r="C8" s="10">
        <f>IS!C8*Assumptions!B21/365</f>
        <v>4046616.5910544666</v>
      </c>
      <c r="D8" s="10">
        <f>IS!D8*Assumptions!C21/365</f>
        <v>4225424.7142372886</v>
      </c>
      <c r="E8" s="10">
        <f>IS!E8*Assumptions!D21/365</f>
        <v>4430509.5147268102</v>
      </c>
      <c r="F8" s="10">
        <f>IS!F8*Assumptions!E21/365</f>
        <v>4538541.2838673079</v>
      </c>
      <c r="G8" s="10">
        <f>IS!G8*Assumptions!F21/365</f>
        <v>4846422.8032627255</v>
      </c>
    </row>
    <row r="9" spans="1:7" ht="15" customHeight="1" x14ac:dyDescent="0.3">
      <c r="A9" t="s">
        <v>61</v>
      </c>
      <c r="B9" s="8">
        <v>6435671</v>
      </c>
      <c r="C9" s="8">
        <v>6700000</v>
      </c>
      <c r="D9" s="8">
        <v>6980000</v>
      </c>
      <c r="E9" s="8">
        <v>7260000</v>
      </c>
      <c r="F9" s="8">
        <v>7540000</v>
      </c>
      <c r="G9" s="8">
        <v>7820000</v>
      </c>
    </row>
    <row r="10" spans="1:7" ht="15" customHeight="1" x14ac:dyDescent="0.3">
      <c r="A10" t="s">
        <v>62</v>
      </c>
      <c r="B10" s="8">
        <v>3638180</v>
      </c>
      <c r="C10" s="10">
        <f>B10+CF!B20</f>
        <v>3991531.6126091382</v>
      </c>
      <c r="D10" s="10">
        <f>C10+CF!C20</f>
        <v>5450283.9598234035</v>
      </c>
      <c r="E10" s="10">
        <f>D10+CF!D20</f>
        <v>7746153.6859761328</v>
      </c>
      <c r="F10" s="10">
        <f>E10+CF!E20</f>
        <v>10893629.232859537</v>
      </c>
      <c r="G10" s="10">
        <f>F10+CF!F20</f>
        <v>14377688.701915883</v>
      </c>
    </row>
    <row r="11" spans="1:7" ht="15" customHeight="1" x14ac:dyDescent="0.3">
      <c r="A11" s="11" t="s">
        <v>63</v>
      </c>
      <c r="B11" s="12">
        <f t="shared" ref="B11:G11" si="1">B8+B9+B10</f>
        <v>13699494</v>
      </c>
      <c r="C11" s="12">
        <f t="shared" si="1"/>
        <v>14738148.203663604</v>
      </c>
      <c r="D11" s="12">
        <f t="shared" si="1"/>
        <v>16655708.674060691</v>
      </c>
      <c r="E11" s="12">
        <f t="shared" si="1"/>
        <v>19436663.200702943</v>
      </c>
      <c r="F11" s="12">
        <f t="shared" si="1"/>
        <v>22972170.516726844</v>
      </c>
      <c r="G11" s="12">
        <f t="shared" si="1"/>
        <v>27044111.505178608</v>
      </c>
    </row>
    <row r="13" spans="1:7" ht="15" customHeight="1" x14ac:dyDescent="0.3">
      <c r="A13" s="11" t="s">
        <v>64</v>
      </c>
      <c r="B13" s="12">
        <f t="shared" ref="B13:G13" si="2">B6+B11</f>
        <v>19122377</v>
      </c>
      <c r="C13" s="12">
        <f t="shared" si="2"/>
        <v>20738464.777240485</v>
      </c>
      <c r="D13" s="12">
        <f t="shared" si="2"/>
        <v>23215663.406578276</v>
      </c>
      <c r="E13" s="12">
        <f t="shared" si="2"/>
        <v>26535981.482748367</v>
      </c>
      <c r="F13" s="12">
        <f t="shared" si="2"/>
        <v>30582802.312494583</v>
      </c>
      <c r="G13" s="12">
        <f t="shared" si="2"/>
        <v>35188532.165584527</v>
      </c>
    </row>
    <row r="15" spans="1:7" ht="15" customHeight="1" x14ac:dyDescent="0.3">
      <c r="A15" t="s">
        <v>65</v>
      </c>
      <c r="B15" s="12">
        <f t="shared" ref="B15:G15" si="3">B10</f>
        <v>3638180</v>
      </c>
      <c r="C15" s="12">
        <f t="shared" si="3"/>
        <v>3991531.6126091382</v>
      </c>
      <c r="D15" s="12">
        <f t="shared" si="3"/>
        <v>5450283.9598234035</v>
      </c>
      <c r="E15" s="12">
        <f t="shared" si="3"/>
        <v>7746153.6859761328</v>
      </c>
      <c r="F15" s="12">
        <f t="shared" si="3"/>
        <v>10893629.232859537</v>
      </c>
      <c r="G15" s="12">
        <f t="shared" si="3"/>
        <v>14377688.701915883</v>
      </c>
    </row>
    <row r="17" spans="1:7" ht="15" customHeight="1" x14ac:dyDescent="0.3">
      <c r="A17" s="11" t="s">
        <v>66</v>
      </c>
      <c r="B17" s="8">
        <v>8922949</v>
      </c>
      <c r="C17" s="10">
        <f>B17+IS!C28</f>
        <v>9995956.9963721</v>
      </c>
      <c r="D17" s="10">
        <f>C17+IS!D28</f>
        <v>11945304.032992877</v>
      </c>
      <c r="E17" s="10">
        <f>D17+IS!E28</f>
        <v>14758401.898696817</v>
      </c>
      <c r="F17" s="10">
        <f>E17+IS!F28</f>
        <v>18308757.511745129</v>
      </c>
      <c r="G17" s="10">
        <f>F17+IS!G28</f>
        <v>22438299.069423497</v>
      </c>
    </row>
    <row r="18" spans="1:7" x14ac:dyDescent="0.3">
      <c r="B18" s="18"/>
      <c r="C18" s="19"/>
    </row>
    <row r="19" spans="1:7" ht="15" customHeight="1" x14ac:dyDescent="0.3">
      <c r="A19" t="s">
        <v>67</v>
      </c>
      <c r="B19" s="8">
        <v>102136</v>
      </c>
      <c r="C19" s="8">
        <v>110000</v>
      </c>
      <c r="D19" s="8">
        <v>115000</v>
      </c>
      <c r="E19" s="8">
        <v>120000</v>
      </c>
      <c r="F19" s="8">
        <v>125000</v>
      </c>
      <c r="G19" s="8">
        <v>130000</v>
      </c>
    </row>
    <row r="21" spans="1:7" ht="15" customHeight="1" x14ac:dyDescent="0.3">
      <c r="A21" t="s">
        <v>68</v>
      </c>
      <c r="B21" s="8">
        <v>3018016</v>
      </c>
      <c r="C21" s="10">
        <f>IS!C8*Assumptions!B22/365</f>
        <v>3332507.7808683841</v>
      </c>
      <c r="D21" s="10">
        <f>IS!D8*Assumptions!C22/365</f>
        <v>3575359.3735853978</v>
      </c>
      <c r="E21" s="10">
        <f>IS!E8*Assumptions!D22/365</f>
        <v>3797579.5840515508</v>
      </c>
      <c r="F21" s="10">
        <f>IS!F8*Assumptions!E22/365</f>
        <v>4009044.8007494556</v>
      </c>
      <c r="G21" s="10">
        <f>IS!G8*Assumptions!F22/365</f>
        <v>4200233.0961610284</v>
      </c>
    </row>
    <row r="22" spans="1:7" ht="15" customHeight="1" x14ac:dyDescent="0.3">
      <c r="A22" t="s">
        <v>69</v>
      </c>
      <c r="B22" s="8">
        <v>7079276</v>
      </c>
      <c r="C22" s="8">
        <v>7300000</v>
      </c>
      <c r="D22" s="8">
        <v>7580000</v>
      </c>
      <c r="E22" s="8">
        <v>7860000</v>
      </c>
      <c r="F22" s="8">
        <v>8140000</v>
      </c>
      <c r="G22" s="8">
        <v>8420000</v>
      </c>
    </row>
    <row r="23" spans="1:7" ht="15" customHeight="1" x14ac:dyDescent="0.3">
      <c r="A23" s="11" t="s">
        <v>70</v>
      </c>
      <c r="B23" s="12">
        <f t="shared" ref="B23:G23" si="4">B21+B22</f>
        <v>10097292</v>
      </c>
      <c r="C23" s="12">
        <f t="shared" si="4"/>
        <v>10632507.780868385</v>
      </c>
      <c r="D23" s="12">
        <f t="shared" si="4"/>
        <v>11155359.373585397</v>
      </c>
      <c r="E23" s="12">
        <f t="shared" si="4"/>
        <v>11657579.584051551</v>
      </c>
      <c r="F23" s="12">
        <f t="shared" si="4"/>
        <v>12149044.800749455</v>
      </c>
      <c r="G23" s="12">
        <f t="shared" si="4"/>
        <v>12620233.096161028</v>
      </c>
    </row>
    <row r="25" spans="1:7" ht="15" customHeight="1" x14ac:dyDescent="0.3">
      <c r="A25" s="11" t="s">
        <v>71</v>
      </c>
      <c r="B25" s="12">
        <f t="shared" ref="B25:G25" si="5">B19+B23</f>
        <v>10199428</v>
      </c>
      <c r="C25" s="12">
        <f t="shared" si="5"/>
        <v>10742507.780868385</v>
      </c>
      <c r="D25" s="12">
        <f t="shared" si="5"/>
        <v>11270359.373585397</v>
      </c>
      <c r="E25" s="12">
        <f t="shared" si="5"/>
        <v>11777579.584051551</v>
      </c>
      <c r="F25" s="12">
        <f t="shared" si="5"/>
        <v>12274044.800749455</v>
      </c>
      <c r="G25" s="12">
        <f t="shared" si="5"/>
        <v>12750233.096161028</v>
      </c>
    </row>
    <row r="27" spans="1:7" ht="15" customHeight="1" x14ac:dyDescent="0.3">
      <c r="A27" s="11" t="s">
        <v>72</v>
      </c>
      <c r="B27" s="12">
        <f t="shared" ref="B27:G27" si="6">B17+B25</f>
        <v>19122377</v>
      </c>
      <c r="C27" s="12">
        <f t="shared" si="6"/>
        <v>20738464.777240485</v>
      </c>
      <c r="D27" s="12">
        <f t="shared" si="6"/>
        <v>23215663.406578273</v>
      </c>
      <c r="E27" s="12">
        <f t="shared" si="6"/>
        <v>26535981.482748367</v>
      </c>
      <c r="F27" s="12">
        <f t="shared" si="6"/>
        <v>30582802.312494583</v>
      </c>
      <c r="G27" s="12">
        <f t="shared" si="6"/>
        <v>35188532.165584527</v>
      </c>
    </row>
    <row r="29" spans="1:7" ht="15" customHeight="1" x14ac:dyDescent="0.3">
      <c r="A29" s="13" t="s">
        <v>73</v>
      </c>
      <c r="B29" s="12">
        <f>B13-B27</f>
        <v>0</v>
      </c>
      <c r="C29" s="12">
        <f t="shared" ref="C29:G29" si="7">C13-C27</f>
        <v>0</v>
      </c>
      <c r="D29" s="12">
        <f t="shared" si="7"/>
        <v>0</v>
      </c>
      <c r="E29" s="12">
        <f t="shared" si="7"/>
        <v>0</v>
      </c>
      <c r="F29" s="12">
        <f t="shared" si="7"/>
        <v>0</v>
      </c>
      <c r="G29" s="12">
        <f t="shared" si="7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topLeftCell="A8" zoomScaleNormal="100" workbookViewId="0">
      <selection activeCell="D18" sqref="D18"/>
    </sheetView>
  </sheetViews>
  <sheetFormatPr baseColWidth="10" defaultColWidth="8.6640625" defaultRowHeight="14.4" x14ac:dyDescent="0.3"/>
  <cols>
    <col min="1" max="1" width="30" customWidth="1"/>
    <col min="2" max="6" width="14" customWidth="1"/>
  </cols>
  <sheetData>
    <row r="1" spans="1:6" ht="17.25" customHeight="1" x14ac:dyDescent="0.3">
      <c r="A1" s="1" t="s">
        <v>74</v>
      </c>
    </row>
    <row r="3" spans="1:6" ht="15" customHeight="1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5" customHeight="1" x14ac:dyDescent="0.3">
      <c r="A4" s="11" t="s">
        <v>75</v>
      </c>
    </row>
    <row r="5" spans="1:6" ht="15" customHeight="1" x14ac:dyDescent="0.3">
      <c r="A5" t="s">
        <v>76</v>
      </c>
      <c r="B5" s="10">
        <f>IS!C28</f>
        <v>1073007.9963721009</v>
      </c>
      <c r="C5" s="10">
        <f>IS!D28</f>
        <v>1949347.0366207776</v>
      </c>
      <c r="D5" s="10">
        <f>IS!E28</f>
        <v>2813097.8657039395</v>
      </c>
      <c r="E5" s="10">
        <f>IS!F28</f>
        <v>3550355.6130483113</v>
      </c>
      <c r="F5" s="10">
        <f>IS!G28</f>
        <v>4129541.5576783689</v>
      </c>
    </row>
    <row r="6" spans="1:6" ht="15" customHeight="1" x14ac:dyDescent="0.3">
      <c r="A6" t="s">
        <v>77</v>
      </c>
      <c r="B6" s="10">
        <f>-IS!C20</f>
        <v>152045.66750212002</v>
      </c>
      <c r="C6" s="10">
        <f>-IS!D20</f>
        <v>166091.69453655803</v>
      </c>
      <c r="D6" s="10">
        <f>-IS!E20</f>
        <v>154012.94979764623</v>
      </c>
      <c r="E6" s="10">
        <f>-IS!F20</f>
        <v>165656.75686115675</v>
      </c>
      <c r="F6" s="10">
        <f>-IS!G20</f>
        <v>176894.43231908948</v>
      </c>
    </row>
    <row r="7" spans="1:6" ht="15" customHeight="1" x14ac:dyDescent="0.3">
      <c r="A7" t="s">
        <v>78</v>
      </c>
      <c r="B7" s="10">
        <f>-(BS!C8-BS!B8)</f>
        <v>-420973.59105446655</v>
      </c>
      <c r="C7" s="10">
        <f>-(BS!D8-BS!C8)</f>
        <v>-178808.12318282202</v>
      </c>
      <c r="D7" s="10">
        <f>-(BS!E8-BS!D8)</f>
        <v>-205084.80048952159</v>
      </c>
      <c r="E7" s="10">
        <f>-(BS!F8-BS!E8)</f>
        <v>-108031.76914049778</v>
      </c>
      <c r="F7" s="10">
        <f>-(BS!G8-BS!F8)</f>
        <v>-307881.51939541753</v>
      </c>
    </row>
    <row r="8" spans="1:6" ht="15" customHeight="1" x14ac:dyDescent="0.3">
      <c r="A8" t="s">
        <v>79</v>
      </c>
      <c r="B8" s="10">
        <f>BS!C21-BS!B21</f>
        <v>314491.78086838406</v>
      </c>
      <c r="C8" s="10">
        <f>BS!D21-BS!C21</f>
        <v>242851.59271701379</v>
      </c>
      <c r="D8" s="10">
        <f>BS!E21-BS!D21</f>
        <v>222220.21046615299</v>
      </c>
      <c r="E8" s="10">
        <f>BS!F21-BS!E21</f>
        <v>211465.21669790475</v>
      </c>
      <c r="F8" s="10">
        <f>BS!G21-BS!F21</f>
        <v>191188.29541157279</v>
      </c>
    </row>
    <row r="9" spans="1:6" ht="15" customHeight="1" x14ac:dyDescent="0.3">
      <c r="A9" t="s">
        <v>80</v>
      </c>
      <c r="B9" s="10">
        <f>-(BS!C9-BS!B9)+(BS!C22-BS!B22)</f>
        <v>-43605</v>
      </c>
      <c r="C9" s="10">
        <f>-(BS!D9-BS!C9)+(BS!D22-BS!C22)</f>
        <v>0</v>
      </c>
      <c r="D9" s="10">
        <f>-(BS!E9-BS!D9)+(BS!E22-BS!D22)</f>
        <v>0</v>
      </c>
      <c r="E9" s="10">
        <f>-(BS!F9-BS!E9)+(BS!F22-BS!E22)</f>
        <v>0</v>
      </c>
      <c r="F9" s="10">
        <f>-(BS!G9-BS!F9)+(BS!G22-BS!F22)</f>
        <v>0</v>
      </c>
    </row>
    <row r="10" spans="1:6" ht="15" customHeight="1" x14ac:dyDescent="0.3">
      <c r="A10" s="11" t="s">
        <v>81</v>
      </c>
      <c r="B10" s="12">
        <f>SUM(B5:B9)</f>
        <v>1074966.8536881385</v>
      </c>
      <c r="C10" s="12">
        <f>SUM(C5:C9)</f>
        <v>2179482.2006915272</v>
      </c>
      <c r="D10" s="12">
        <f>SUM(D5:D9)</f>
        <v>2984246.225478217</v>
      </c>
      <c r="E10" s="12">
        <f>SUM(E5:E9)</f>
        <v>3819445.8174668751</v>
      </c>
      <c r="F10" s="12">
        <f>SUM(F5:F9)</f>
        <v>4189742.7660136139</v>
      </c>
    </row>
    <row r="12" spans="1:6" ht="15" customHeight="1" x14ac:dyDescent="0.3">
      <c r="A12" s="11" t="s">
        <v>82</v>
      </c>
    </row>
    <row r="13" spans="1:6" ht="15" customHeight="1" x14ac:dyDescent="0.3">
      <c r="A13" t="s">
        <v>83</v>
      </c>
      <c r="B13" s="10">
        <f>-(BS!C4-BS!B4-IS!C20)</f>
        <v>-543020.24107900017</v>
      </c>
      <c r="C13" s="10">
        <f>-(BS!D4-BS!C4-IS!D20)</f>
        <v>-545729.85347726184</v>
      </c>
      <c r="D13" s="10">
        <f>-(BS!E4-BS!D4-IS!E20)</f>
        <v>-513376.49932548765</v>
      </c>
      <c r="E13" s="10">
        <f>-(BS!F4-BS!E4-IS!F20)</f>
        <v>-496970.27058347035</v>
      </c>
      <c r="F13" s="10">
        <f>-(BS!G4-BS!F4-IS!G20)</f>
        <v>-530683.29695726861</v>
      </c>
    </row>
    <row r="14" spans="1:6" ht="15" customHeight="1" x14ac:dyDescent="0.3">
      <c r="A14" t="s">
        <v>84</v>
      </c>
      <c r="B14" s="10">
        <f>-(BS!C5-BS!B5)</f>
        <v>-186459</v>
      </c>
      <c r="C14" s="10">
        <f>-(BS!D5-BS!C5)</f>
        <v>-180000</v>
      </c>
      <c r="D14" s="10">
        <f>-(BS!E5-BS!D5)</f>
        <v>-180000</v>
      </c>
      <c r="E14" s="10">
        <f>-(BS!F5-BS!E5)</f>
        <v>-180000</v>
      </c>
      <c r="F14" s="10">
        <f>-(BS!G5-BS!F5)</f>
        <v>-180000</v>
      </c>
    </row>
    <row r="15" spans="1:6" ht="15" customHeight="1" x14ac:dyDescent="0.3">
      <c r="A15" s="11" t="s">
        <v>85</v>
      </c>
      <c r="B15" s="12">
        <f>B13+B14</f>
        <v>-729479.24107900017</v>
      </c>
      <c r="C15" s="12">
        <f>C13+C14</f>
        <v>-725729.85347726184</v>
      </c>
      <c r="D15" s="12">
        <f>D13+D14</f>
        <v>-693376.49932548765</v>
      </c>
      <c r="E15" s="12">
        <f>E13+E14</f>
        <v>-676970.27058347035</v>
      </c>
      <c r="F15" s="12">
        <f>F13+F14</f>
        <v>-710683.29695726861</v>
      </c>
    </row>
    <row r="17" spans="1:6" ht="15" customHeight="1" x14ac:dyDescent="0.3">
      <c r="A17" s="11" t="s">
        <v>86</v>
      </c>
    </row>
    <row r="18" spans="1:6" ht="15" customHeight="1" x14ac:dyDescent="0.3">
      <c r="A18" t="s">
        <v>87</v>
      </c>
      <c r="B18" s="10">
        <f>BS!C19-BS!B19</f>
        <v>7864</v>
      </c>
      <c r="C18" s="10">
        <f>BS!D19-BS!C19</f>
        <v>5000</v>
      </c>
      <c r="D18" s="10">
        <f>BS!E19-BS!D19</f>
        <v>5000</v>
      </c>
      <c r="E18" s="10">
        <f>BS!F19-BS!E19</f>
        <v>5000</v>
      </c>
      <c r="F18" s="10">
        <f>BS!G19-BS!F19</f>
        <v>5000</v>
      </c>
    </row>
    <row r="19" spans="1:6" ht="15" customHeight="1" x14ac:dyDescent="0.3">
      <c r="A19" s="11" t="s">
        <v>88</v>
      </c>
      <c r="B19" s="12">
        <f>B18</f>
        <v>7864</v>
      </c>
      <c r="C19" s="12">
        <f>C18</f>
        <v>5000</v>
      </c>
      <c r="D19" s="12">
        <f>D18</f>
        <v>5000</v>
      </c>
      <c r="E19" s="12">
        <f>E18</f>
        <v>5000</v>
      </c>
      <c r="F19" s="12">
        <f>F18</f>
        <v>5000</v>
      </c>
    </row>
    <row r="20" spans="1:6" ht="15" customHeight="1" x14ac:dyDescent="0.3">
      <c r="B20" s="12">
        <f>B21</f>
        <v>353351.61260913836</v>
      </c>
      <c r="C20" s="12">
        <f>C21</f>
        <v>1458752.3472142653</v>
      </c>
      <c r="D20" s="12">
        <f>D21</f>
        <v>2295869.7261527292</v>
      </c>
      <c r="E20" s="12">
        <f>E21</f>
        <v>3147475.5468834047</v>
      </c>
      <c r="F20" s="12">
        <f>F21</f>
        <v>3484059.4690563455</v>
      </c>
    </row>
    <row r="21" spans="1:6" ht="15" customHeight="1" x14ac:dyDescent="0.3">
      <c r="A21" s="11" t="s">
        <v>89</v>
      </c>
      <c r="B21" s="12">
        <f>B10+B15+B19</f>
        <v>353351.61260913836</v>
      </c>
      <c r="C21" s="12">
        <f>C10+C15+C19</f>
        <v>1458752.3472142653</v>
      </c>
      <c r="D21" s="12">
        <f>D10+D15+D19</f>
        <v>2295869.7261527292</v>
      </c>
      <c r="E21" s="12">
        <f>E10+E15+E19</f>
        <v>3147475.5468834047</v>
      </c>
      <c r="F21" s="12">
        <f>F10+F15+F19</f>
        <v>3484059.4690563455</v>
      </c>
    </row>
    <row r="23" spans="1:6" ht="15" customHeight="1" x14ac:dyDescent="0.3">
      <c r="A23" s="13" t="s">
        <v>73</v>
      </c>
      <c r="B23" s="12">
        <f>B21-(BS!C10-BS!B10)</f>
        <v>0</v>
      </c>
      <c r="C23" s="12">
        <f>C21-(BS!D10-BS!C10)</f>
        <v>0</v>
      </c>
      <c r="D23" s="12">
        <f>D21-(BS!E10-BS!D10)</f>
        <v>0</v>
      </c>
      <c r="E23" s="12">
        <f>E21-(BS!F10-BS!E10)</f>
        <v>0</v>
      </c>
      <c r="F23" s="12">
        <f>F21-(BS!G10-BS!F10)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0"/>
  <sheetViews>
    <sheetView topLeftCell="A45" zoomScaleNormal="100" workbookViewId="0">
      <selection activeCell="F23" sqref="F23"/>
    </sheetView>
  </sheetViews>
  <sheetFormatPr baseColWidth="10" defaultColWidth="8.6640625" defaultRowHeight="14.4" x14ac:dyDescent="0.3"/>
  <cols>
    <col min="1" max="2" width="29.88671875" bestFit="1" customWidth="1"/>
    <col min="3" max="4" width="9.6640625" bestFit="1" customWidth="1"/>
    <col min="5" max="6" width="11.21875" bestFit="1" customWidth="1"/>
    <col min="7" max="7" width="9.6640625" bestFit="1" customWidth="1"/>
    <col min="9" max="9" width="32.109375" bestFit="1" customWidth="1"/>
  </cols>
  <sheetData>
    <row r="1" spans="1:6" ht="17.25" customHeight="1" x14ac:dyDescent="0.3">
      <c r="A1" s="1" t="s">
        <v>90</v>
      </c>
    </row>
    <row r="3" spans="1:6" ht="15" customHeight="1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5" spans="1:6" ht="15" customHeight="1" x14ac:dyDescent="0.3">
      <c r="A5" t="s">
        <v>34</v>
      </c>
      <c r="B5" s="10">
        <f>IS!C21</f>
        <v>1151202.9110874757</v>
      </c>
      <c r="C5" s="10">
        <f>IS!D21</f>
        <v>2280201.6921376004</v>
      </c>
      <c r="D5" s="10">
        <f>IS!E21</f>
        <v>3393418.6605414702</v>
      </c>
      <c r="E5" s="10">
        <f>IS!F21</f>
        <v>4340207.0297623063</v>
      </c>
      <c r="F5" s="10">
        <f>IS!G21</f>
        <v>5079818.4480965175</v>
      </c>
    </row>
    <row r="6" spans="1:6" ht="15" customHeight="1" x14ac:dyDescent="0.3">
      <c r="A6" t="s">
        <v>91</v>
      </c>
      <c r="B6" s="12">
        <f>-B5*0.24</f>
        <v>-276288.69866099418</v>
      </c>
      <c r="C6" s="12">
        <f>-C5*0.24</f>
        <v>-547248.4061130241</v>
      </c>
      <c r="D6" s="12">
        <f>-D5*0.24</f>
        <v>-814420.47852995282</v>
      </c>
      <c r="E6" s="12">
        <f>-E5*0.24</f>
        <v>-1041649.6871429535</v>
      </c>
      <c r="F6" s="12">
        <f>-F5*0.24</f>
        <v>-1219156.4275431642</v>
      </c>
    </row>
    <row r="7" spans="1:6" ht="15" customHeight="1" x14ac:dyDescent="0.3">
      <c r="A7" s="11" t="s">
        <v>92</v>
      </c>
      <c r="B7" s="12">
        <f>B5+B6</f>
        <v>874914.21242648154</v>
      </c>
      <c r="C7" s="12">
        <f>C5+C6</f>
        <v>1732953.2860245763</v>
      </c>
      <c r="D7" s="12">
        <f>D5+D6</f>
        <v>2578998.1820115172</v>
      </c>
      <c r="E7" s="12">
        <f>E5+E6</f>
        <v>3298557.342619353</v>
      </c>
      <c r="F7" s="12">
        <f>F5+F6</f>
        <v>3860662.0205533532</v>
      </c>
    </row>
    <row r="8" spans="1:6" ht="15" customHeight="1" x14ac:dyDescent="0.3">
      <c r="A8" t="s">
        <v>77</v>
      </c>
      <c r="B8" s="10">
        <f>-IS!C20</f>
        <v>152045.66750212002</v>
      </c>
      <c r="C8" s="10">
        <f>-IS!D20</f>
        <v>166091.69453655803</v>
      </c>
      <c r="D8" s="10">
        <f>-IS!E20</f>
        <v>154012.94979764623</v>
      </c>
      <c r="E8" s="10">
        <f>-IS!F20</f>
        <v>165656.75686115675</v>
      </c>
      <c r="F8" s="10">
        <f>-IS!G20</f>
        <v>176894.43231908948</v>
      </c>
    </row>
    <row r="9" spans="1:6" ht="15" customHeight="1" x14ac:dyDescent="0.3">
      <c r="A9" t="s">
        <v>93</v>
      </c>
      <c r="B9" s="10">
        <f>CF!B13</f>
        <v>-543020.24107900017</v>
      </c>
      <c r="C9" s="10">
        <f>CF!C13</f>
        <v>-545729.85347726184</v>
      </c>
      <c r="D9" s="10">
        <f>CF!D13</f>
        <v>-513376.49932548765</v>
      </c>
      <c r="E9" s="10">
        <f>CF!E13</f>
        <v>-496970.27058347035</v>
      </c>
      <c r="F9" s="10">
        <f>CF!F13</f>
        <v>-530683.29695726861</v>
      </c>
    </row>
    <row r="10" spans="1:6" ht="15" customHeight="1" x14ac:dyDescent="0.3">
      <c r="A10" t="s">
        <v>94</v>
      </c>
      <c r="B10" s="10">
        <f>-(CF!B7+CF!B8+CF!B9)</f>
        <v>150086.8101860825</v>
      </c>
      <c r="C10" s="10">
        <f>-(CF!C7+CF!C8+CF!C9)</f>
        <v>-64043.469534191769</v>
      </c>
      <c r="D10" s="10">
        <f>-(CF!D7+CF!D8+CF!D9)</f>
        <v>-17135.409976631403</v>
      </c>
      <c r="E10" s="10">
        <f>-(CF!E7+CF!E8+CF!E9)</f>
        <v>-103433.44755740697</v>
      </c>
      <c r="F10" s="10">
        <f>-(CF!F7+CF!F8+CF!F9)</f>
        <v>116693.22398384474</v>
      </c>
    </row>
    <row r="11" spans="1:6" ht="15" customHeight="1" x14ac:dyDescent="0.3">
      <c r="A11" s="11" t="s">
        <v>95</v>
      </c>
      <c r="B11" s="12">
        <f>B7+B8+B9+B10</f>
        <v>634026.44903568388</v>
      </c>
      <c r="C11" s="12">
        <f>C7+C8+C9+C10</f>
        <v>1289271.6575496807</v>
      </c>
      <c r="D11" s="12">
        <f>D7+D8+D9+D10</f>
        <v>2202499.2225070442</v>
      </c>
      <c r="E11" s="12">
        <f>E7+E8+E9+E10</f>
        <v>2863810.3813396324</v>
      </c>
      <c r="F11" s="12">
        <f>F7+F8+F9+F10</f>
        <v>3623566.3798990184</v>
      </c>
    </row>
    <row r="13" spans="1:6" ht="15" customHeight="1" x14ac:dyDescent="0.3">
      <c r="A13" t="s">
        <v>96</v>
      </c>
      <c r="B13" s="14">
        <f>Assumptions!B30</f>
        <v>0.11875000000000001</v>
      </c>
      <c r="C13" s="14">
        <f>Assumptions!B30</f>
        <v>0.11875000000000001</v>
      </c>
      <c r="D13" s="14">
        <f>Assumptions!B30</f>
        <v>0.11875000000000001</v>
      </c>
      <c r="E13" s="14">
        <f>Assumptions!B30</f>
        <v>0.11875000000000001</v>
      </c>
      <c r="F13" s="14">
        <f>Assumptions!B30</f>
        <v>0.11875000000000001</v>
      </c>
    </row>
    <row r="14" spans="1:6" ht="15" customHeight="1" x14ac:dyDescent="0.3">
      <c r="A14" t="s">
        <v>97</v>
      </c>
      <c r="B14" s="15">
        <f>1/(1+B13)^1</f>
        <v>0.89385474860335201</v>
      </c>
      <c r="C14" s="15">
        <f>1/(1+C13)^2</f>
        <v>0.79897631160076166</v>
      </c>
      <c r="D14" s="15">
        <f>1/(1+D13)^3</f>
        <v>0.71416877014593216</v>
      </c>
      <c r="E14" s="15">
        <f>1/(1+E13)^4</f>
        <v>0.63836314649915737</v>
      </c>
      <c r="F14" s="15">
        <f>1/(1+F13)^5</f>
        <v>0.57060392983164898</v>
      </c>
    </row>
    <row r="15" spans="1:6" ht="15" customHeight="1" x14ac:dyDescent="0.3">
      <c r="A15" t="s">
        <v>98</v>
      </c>
      <c r="B15" s="12">
        <f>B11*B14</f>
        <v>566727.55221066717</v>
      </c>
      <c r="C15" s="12">
        <f>C11*C14</f>
        <v>1030097.5136004442</v>
      </c>
      <c r="D15" s="12">
        <f>D11*D14</f>
        <v>1572956.1609852274</v>
      </c>
      <c r="E15" s="12">
        <f>E11*E14</f>
        <v>1828151.0060089196</v>
      </c>
      <c r="F15" s="12">
        <f>F11*F14</f>
        <v>2067621.2163762217</v>
      </c>
    </row>
    <row r="17" spans="1:6" ht="15" customHeight="1" x14ac:dyDescent="0.3">
      <c r="A17" s="11" t="s">
        <v>99</v>
      </c>
    </row>
    <row r="18" spans="1:6" ht="15" customHeight="1" x14ac:dyDescent="0.3">
      <c r="A18" t="s">
        <v>100</v>
      </c>
      <c r="F18" s="12">
        <f>F11</f>
        <v>3623566.3798990184</v>
      </c>
    </row>
    <row r="19" spans="1:6" ht="15" customHeight="1" x14ac:dyDescent="0.3">
      <c r="A19" t="s">
        <v>101</v>
      </c>
      <c r="F19" s="14">
        <f>Assumptions!B31</f>
        <v>2.5000000000000001E-2</v>
      </c>
    </row>
    <row r="20" spans="1:6" ht="15" customHeight="1" x14ac:dyDescent="0.3">
      <c r="A20" t="s">
        <v>176</v>
      </c>
      <c r="F20" s="12">
        <f>F18*(1+F19)/(F13-F19)</f>
        <v>39617659.086895935</v>
      </c>
    </row>
    <row r="21" spans="1:6" ht="15" customHeight="1" x14ac:dyDescent="0.3">
      <c r="A21" t="s">
        <v>177</v>
      </c>
      <c r="F21" s="12">
        <f>F20*F14</f>
        <v>22605991.965713359</v>
      </c>
    </row>
    <row r="22" spans="1:6" ht="15" customHeight="1" x14ac:dyDescent="0.3">
      <c r="A22" t="s">
        <v>178</v>
      </c>
      <c r="F22" s="12">
        <f>IS!G17 * 8.5</f>
        <v>44682059.48353266</v>
      </c>
    </row>
    <row r="23" spans="1:6" ht="15" customHeight="1" x14ac:dyDescent="0.3">
      <c r="A23" t="s">
        <v>179</v>
      </c>
      <c r="F23" s="12">
        <f>F22*F14</f>
        <v>25495758.734275237</v>
      </c>
    </row>
    <row r="24" spans="1:6" ht="15" customHeight="1" x14ac:dyDescent="0.3">
      <c r="F24" s="12"/>
    </row>
    <row r="26" spans="1:6" ht="15" customHeight="1" x14ac:dyDescent="0.3">
      <c r="A26" s="2" t="s">
        <v>103</v>
      </c>
    </row>
    <row r="27" spans="1:6" ht="15" customHeight="1" x14ac:dyDescent="0.3">
      <c r="A27" t="s">
        <v>104</v>
      </c>
      <c r="B27" s="12">
        <f>SUM(B15:F15)</f>
        <v>7065553.4491814803</v>
      </c>
    </row>
    <row r="28" spans="1:6" ht="15" customHeight="1" x14ac:dyDescent="0.3">
      <c r="A28" t="s">
        <v>102</v>
      </c>
      <c r="B28" s="10">
        <f>F23</f>
        <v>25495758.734275237</v>
      </c>
    </row>
    <row r="29" spans="1:6" ht="15" customHeight="1" x14ac:dyDescent="0.3">
      <c r="A29" s="16" t="s">
        <v>105</v>
      </c>
      <c r="B29" s="12">
        <f>B27+B28</f>
        <v>32561312.183456719</v>
      </c>
      <c r="D29" s="19"/>
    </row>
    <row r="31" spans="1:6" ht="15" customHeight="1" x14ac:dyDescent="0.3">
      <c r="A31" t="s">
        <v>106</v>
      </c>
      <c r="B31" s="10">
        <f>BS!B19-(BS!B10)</f>
        <v>-3536044</v>
      </c>
    </row>
    <row r="32" spans="1:6" ht="15" customHeight="1" x14ac:dyDescent="0.3">
      <c r="B32" s="8"/>
    </row>
    <row r="33" spans="1:8" ht="15" customHeight="1" x14ac:dyDescent="0.3">
      <c r="A33" s="16" t="s">
        <v>107</v>
      </c>
      <c r="B33" s="12">
        <f>B29-B31</f>
        <v>36097356.183456719</v>
      </c>
    </row>
    <row r="36" spans="1:8" ht="15.6" x14ac:dyDescent="0.3">
      <c r="B36" s="44" t="s">
        <v>108</v>
      </c>
      <c r="C36" s="45"/>
      <c r="D36" s="45"/>
      <c r="E36" s="45"/>
      <c r="F36" s="45"/>
      <c r="G36" s="45"/>
      <c r="H36" s="45"/>
    </row>
    <row r="37" spans="1:8" x14ac:dyDescent="0.3">
      <c r="B37" s="20" t="s">
        <v>109</v>
      </c>
    </row>
    <row r="39" spans="1:8" x14ac:dyDescent="0.3">
      <c r="B39" s="21" t="s">
        <v>110</v>
      </c>
      <c r="C39" s="21" t="s">
        <v>111</v>
      </c>
      <c r="D39" s="21" t="s">
        <v>112</v>
      </c>
      <c r="E39" s="21" t="s">
        <v>113</v>
      </c>
      <c r="F39" s="21" t="s">
        <v>114</v>
      </c>
      <c r="G39" s="21" t="s">
        <v>115</v>
      </c>
    </row>
    <row r="40" spans="1:8" x14ac:dyDescent="0.3">
      <c r="B40" s="27">
        <f>B41-0.005</f>
        <v>0.10875</v>
      </c>
      <c r="C40" s="22">
        <f>($F$11*(1+0.015)/($B$40-0.015))/((1+$B$40)^5)+$B$27</f>
        <v>30478863.871044144</v>
      </c>
      <c r="D40" s="22">
        <f>($F$11*(1+0.02)/($B$40-0.02))/((1+$B$40)^5)+$B$27</f>
        <v>31919757.948903866</v>
      </c>
      <c r="E40" s="22">
        <f>($F$11*(1+0.025)/($B$40-0.025))/((1+$B$40)^5)+$B$27</f>
        <v>33532699.080836393</v>
      </c>
      <c r="F40" s="22">
        <f>($F$11*(1+0.03)/($B$40-0.03))/((1+$B$40)^5)+$B$27</f>
        <v>35350458.134284154</v>
      </c>
      <c r="G40" s="22">
        <f>(F11*(1+0.035)/(0.085-0.035))/((1+0.085)^5)+B27</f>
        <v>56949163.553708851</v>
      </c>
    </row>
    <row r="41" spans="1:8" x14ac:dyDescent="0.3">
      <c r="B41" s="27">
        <f>B42-0.005</f>
        <v>0.11375</v>
      </c>
      <c r="C41" s="22">
        <f>($F$11*(1+0.015)/($B$41-0.015))/((1+$B$41)^5)+$B$27</f>
        <v>28798898.455313563</v>
      </c>
      <c r="D41" s="22">
        <f>($F$11*(1+0.02)/($B$41-0.02))/((1+$B$41)^5)+$B$27</f>
        <v>30070780.911830068</v>
      </c>
      <c r="E41" s="22">
        <f>($F$11*(1+0.025)/($B$41-0.025))/((1+$B$41)^5)+$B$27</f>
        <v>31485974.067672372</v>
      </c>
      <c r="F41" s="22">
        <f>($F$11*(1+0.03)/($B$41-0.03))/((1+$B$41)^5)+$B$27</f>
        <v>33070145.510779418</v>
      </c>
      <c r="G41" s="22">
        <f>(F11*(1+0.035)/(0.09-0.035))/((1+0.09)^5)+B27</f>
        <v>51383679.882889852</v>
      </c>
    </row>
    <row r="42" spans="1:8" x14ac:dyDescent="0.3">
      <c r="B42" s="27">
        <f>Assumptions!B30</f>
        <v>0.11875000000000001</v>
      </c>
      <c r="C42" s="22">
        <f>($F$11*(1+0.015)/($B$42-0.015))/((1+$B$42)^5)+$B$27</f>
        <v>27293365.831078969</v>
      </c>
      <c r="D42" s="22">
        <f>($F$11*(1+0.02)/($B$42-0.02))/((1+$B$42)^5)+$B$27</f>
        <v>28422248.544915617</v>
      </c>
      <c r="E42" s="23">
        <f>($F$11*(1+0.025)/($B$42-0.025))/((1+$B$42)^5)+$B$27</f>
        <v>29671545.414894842</v>
      </c>
      <c r="F42" s="22">
        <f>($F$11*(1+0.03)/($B$42-0.03))/((1+$B$42)^5)+$B$27</f>
        <v>31061608.129378758</v>
      </c>
      <c r="G42" s="22">
        <f>(F11*(1+0.035)/(0.0945-0.035))/((1+0.0945)^5)+B27</f>
        <v>47196626.846379466</v>
      </c>
    </row>
    <row r="43" spans="1:8" x14ac:dyDescent="0.3">
      <c r="B43" s="27">
        <f>B42+0.005</f>
        <v>0.12375000000000001</v>
      </c>
      <c r="C43" s="22">
        <f>($F$11*(1+0.015)/($B$43-0.015))/((1+$B$43)^5)+$B$27</f>
        <v>25937837.928973272</v>
      </c>
      <c r="D43" s="22">
        <f>($F$11*(1+0.02)/($B$43-0.02))/((1+$B$43)^5)+$B$27</f>
        <v>26944792.866793491</v>
      </c>
      <c r="E43" s="22">
        <f>($F$11*(1+0.025)/($B$43-0.025))/((1+$B$43)^5)+$B$27</f>
        <v>28053717.924899302</v>
      </c>
      <c r="F43" s="22">
        <f>($F$11*(1+0.03)/($B$43-0.03))/((1+$B$43)^5)+$B$27</f>
        <v>29280928.322536394</v>
      </c>
      <c r="G43" s="22">
        <f>(F11*(1+0.035)/(0.1-0.035))/((1+0.1)^5)+B27</f>
        <v>42891674.493451573</v>
      </c>
    </row>
    <row r="44" spans="1:8" x14ac:dyDescent="0.3">
      <c r="B44" s="27">
        <f>B43+0.005</f>
        <v>0.12875</v>
      </c>
      <c r="C44" s="22">
        <f>($F$11*(1+0.015)/($B$44-0.015))/((1+$B$44)^5)+$B$27</f>
        <v>24712194.094882645</v>
      </c>
      <c r="D44" s="22">
        <f>($F$11*(1+0.02)/($B$44-0.02))/((1+$B$44)^5)+$B$27</f>
        <v>25614459.906731814</v>
      </c>
      <c r="E44" s="22">
        <f>($F$11*(1+0.025)/($B$44-0.025))/((1+$B$44)^5)+$B$27</f>
        <v>26603691.098036319</v>
      </c>
      <c r="F44" s="22">
        <f>($F$11*(1+0.03)/($B$44-0.03))/((1+$B$44)^5)+$B$27</f>
        <v>27693097.599852674</v>
      </c>
      <c r="G44" s="22">
        <f>(F11*(1+0.035)/(0.105-0.035))/((1+0.105)^5)+B27</f>
        <v>39586796.803540565</v>
      </c>
    </row>
    <row r="45" spans="1:8" x14ac:dyDescent="0.3">
      <c r="B45" s="27">
        <f>B44+0.005</f>
        <v>0.13375000000000001</v>
      </c>
      <c r="C45" s="22">
        <f>($F$11*(1+0.015)/($B$45-0.015))/((1+$B$45)^5)+$B$27</f>
        <v>23599713.799513068</v>
      </c>
      <c r="D45" s="22">
        <f>($F$11*(1+0.02)/($B$45-0.02))/((1+$B$45)^5)+$B$27</f>
        <v>24411519.323128656</v>
      </c>
      <c r="E45" s="22">
        <f>($F$11*(1+0.025)/($B$45-0.025))/((1+$B$45)^5)+$B$27</f>
        <v>25297973.630524985</v>
      </c>
      <c r="F45" s="22">
        <f>($F$11*(1+0.03)/($B$45-0.03))/((1+$B$45)^5)+$B$27</f>
        <v>26269869.316947468</v>
      </c>
      <c r="G45" s="22">
        <f>(F11*(1+0.035)/(0.11-0.035))/((1+0.11)^5)+B27</f>
        <v>36741215.31952142</v>
      </c>
    </row>
    <row r="46" spans="1:8" x14ac:dyDescent="0.3">
      <c r="B46" s="27">
        <f>B45+0.005</f>
        <v>0.13875000000000001</v>
      </c>
      <c r="C46" s="22">
        <f>($F$11*(1+0.015)/($B$46-0.015))/((1+$B$46)^5)+$B$27</f>
        <v>22586389.316622257</v>
      </c>
      <c r="D46" s="22">
        <f>($F$11*(1+0.02)/($B$46-0.02))/((1+$B$46)^5)+$B$27</f>
        <v>23319574.770355139</v>
      </c>
      <c r="E46" s="22">
        <f>($F$11*(1+0.025)/($B$46-0.025))/((1+$B$46)^5)+$B$27</f>
        <v>24117216.088152438</v>
      </c>
      <c r="F46" s="22">
        <f>($F$11*(1+0.03)/($B$46-0.03))/((1+$B$46)^5)+$B$27</f>
        <v>24988203.734023072</v>
      </c>
      <c r="G46" s="22">
        <f>(F11*(1+0.035)/(0.115-0.035))/((1+0.115)^5)+B27</f>
        <v>34268268.194676481</v>
      </c>
    </row>
    <row r="48" spans="1:8" x14ac:dyDescent="0.3">
      <c r="B48" s="46"/>
      <c r="C48" s="45"/>
      <c r="D48" s="45"/>
      <c r="E48" s="45"/>
      <c r="F48" s="45"/>
      <c r="G48" s="45"/>
      <c r="H48" s="45"/>
    </row>
    <row r="51" spans="2:8" ht="15.6" x14ac:dyDescent="0.3">
      <c r="B51" s="44" t="s">
        <v>116</v>
      </c>
      <c r="C51" s="45"/>
      <c r="D51" s="45"/>
      <c r="E51" s="45"/>
      <c r="F51" s="45"/>
      <c r="G51" s="45"/>
      <c r="H51" s="45"/>
    </row>
    <row r="52" spans="2:8" x14ac:dyDescent="0.3">
      <c r="B52" s="20" t="s">
        <v>109</v>
      </c>
    </row>
    <row r="54" spans="2:8" x14ac:dyDescent="0.3">
      <c r="B54" s="21" t="s">
        <v>110</v>
      </c>
      <c r="C54" s="21" t="s">
        <v>111</v>
      </c>
      <c r="D54" s="21" t="s">
        <v>112</v>
      </c>
      <c r="E54" s="21" t="s">
        <v>113</v>
      </c>
      <c r="F54" s="21" t="s">
        <v>114</v>
      </c>
      <c r="G54" s="21" t="s">
        <v>115</v>
      </c>
    </row>
    <row r="55" spans="2:8" x14ac:dyDescent="0.3">
      <c r="B55" s="27">
        <f>B56-0.005</f>
        <v>0.10875</v>
      </c>
      <c r="C55" s="22">
        <f>($F$11*(1+0.015)/($B$55-0.015))/((1+$B$55)^5)+$B$27-$B$31+$B$32</f>
        <v>34014907.871044144</v>
      </c>
      <c r="D55" s="22">
        <f>($F$11*(1+0.02)/($B$55-0.02))/((1+$B$55)^5)+$B$27-$B$31+$B$32</f>
        <v>35455801.948903866</v>
      </c>
      <c r="E55" s="22">
        <f>($F$11*(1+0.025)/($B$55-0.025))/((1+$B$55)^5)+$B$27-$B$31+$B$32</f>
        <v>37068743.080836393</v>
      </c>
      <c r="F55" s="22">
        <f>($F$11*(1+0.03)/($B$55-0.03))/((1+$B$55)^5)+$B$27-$B$31+$B$32</f>
        <v>38886502.134284154</v>
      </c>
      <c r="G55" s="22">
        <f>(F11*(1+0.035)/(0.085-0.035))/((1+0.085)^5)+B27-B31+B32</f>
        <v>60485207.553708851</v>
      </c>
    </row>
    <row r="56" spans="2:8" x14ac:dyDescent="0.3">
      <c r="B56" s="26">
        <f>B57-0.005</f>
        <v>0.11375</v>
      </c>
      <c r="C56" s="22">
        <f>($F$11*(1+0.015)/($B$56-0.015))/((1+$B$56)^5)+$B$27-$B$31+$B$32</f>
        <v>32334942.455313563</v>
      </c>
      <c r="D56" s="22">
        <f>($F$11*(1+0.02)/($B$56-0.02))/((1+$B$56)^5)+$B$27-$B$31+$B$32</f>
        <v>33606824.911830068</v>
      </c>
      <c r="E56" s="22">
        <f>($F$11*(1+0.025)/($B$56-0.025))/((1+$B$56)^5)+$B$27-$B$31+$B$32</f>
        <v>35022018.067672372</v>
      </c>
      <c r="F56" s="22">
        <f>($F$11*(1+0.03)/($B$56-0.03))/((1+$B$56)^5)+$B$27-$B$31+$B$32</f>
        <v>36606189.510779418</v>
      </c>
      <c r="G56" s="22">
        <f>(F11*(1+0.035)/(0.09-0.035))/((1+0.09)^5)+B27-B31+B32</f>
        <v>54919723.882889852</v>
      </c>
    </row>
    <row r="57" spans="2:8" x14ac:dyDescent="0.3">
      <c r="B57" s="27">
        <f>Assumptions!B30</f>
        <v>0.11875000000000001</v>
      </c>
      <c r="C57" s="22">
        <f>($F$11*(1+0.015)/($B$57-0.015))/((1+$B$57)^5)+$B$27-$B$31+$B$32</f>
        <v>30829409.831078969</v>
      </c>
      <c r="D57" s="22">
        <f>($F$11*(1+0.02)/($B$57-0.02))/((1+$B$57)^5)+$B$27-$B$31+$B$32</f>
        <v>31958292.544915617</v>
      </c>
      <c r="E57" s="23">
        <f>($F$11*(1+0.025)/($B$57-0.025))/((1+$B$57)^5)+$B$27-$B$31+$B$32</f>
        <v>33207589.414894842</v>
      </c>
      <c r="F57" s="22">
        <f>($F$11*(1+0.03)/($B$57-0.03))/((1+$B$57)^5)+$B$27-$B$31+$B$32</f>
        <v>34597652.129378758</v>
      </c>
      <c r="G57" s="22">
        <f>(F11*(1+0.035)/(0.0945-0.035))/((1+0.0945)^5)+B27-B31+B32</f>
        <v>50732670.846379466</v>
      </c>
    </row>
    <row r="58" spans="2:8" x14ac:dyDescent="0.3">
      <c r="B58" s="26">
        <f>B57+0.005</f>
        <v>0.12375000000000001</v>
      </c>
      <c r="C58" s="22">
        <f>($F$11*(1+0.015)/($B$58-0.015))/((1+$B$58)^5)+$B$27-$B$31+$B$32</f>
        <v>29473881.928973272</v>
      </c>
      <c r="D58" s="22">
        <f>($F$11*(1+0.02)/($B$58-0.02))/((1+$B$58)^5)+$B$27-$B$31+$B$32</f>
        <v>30480836.866793491</v>
      </c>
      <c r="E58" s="22">
        <f>($F$11*(1+0.025)/($B$58-0.025))/((1+$B$58)^5)+$B$27-$B$31+$B$32</f>
        <v>31589761.924899302</v>
      </c>
      <c r="F58" s="22">
        <f>($F$11*(1+0.03)/($B$58-0.03))/((1+$B$58)^5)+$B$27-$B$31+$B$32</f>
        <v>32816972.322536394</v>
      </c>
      <c r="G58" s="22">
        <f>(F11*(1+0.035)/(0.1-0.035))/((1+0.1)^5)+B27-B31+B32</f>
        <v>46427718.493451573</v>
      </c>
    </row>
    <row r="59" spans="2:8" x14ac:dyDescent="0.3">
      <c r="B59" s="26">
        <f>B58+0.005</f>
        <v>0.12875</v>
      </c>
      <c r="C59" s="22">
        <f>($F$11*(1+0.015)/($B$59-0.015))/((1+$B$59)^5)+$B$27-$B$31+$B$32</f>
        <v>28248238.094882645</v>
      </c>
      <c r="D59" s="22">
        <f>($F$11*(1+0.02)/($B$59-0.02))/((1+$B$59)^5)+$B$27-$B$31+$B$32</f>
        <v>29150503.906731814</v>
      </c>
      <c r="E59" s="22">
        <f>($F$11*(1+0.025)/($B$59-0.025))/((1+$B$59)^5)+$B$27-$B$31+$B$32</f>
        <v>30139735.098036319</v>
      </c>
      <c r="F59" s="22">
        <f>($F$11*(1+0.03)/($B$59-0.03))/((1+$B$59)^5)+$B$27-$B$31+$B$32</f>
        <v>31229141.599852674</v>
      </c>
      <c r="G59" s="22">
        <f>(F11*(1+0.035)/(0.105-0.035))/((1+0.105)^5)+B27-B31+B32</f>
        <v>43122840.803540565</v>
      </c>
    </row>
    <row r="60" spans="2:8" x14ac:dyDescent="0.3">
      <c r="B60" s="26">
        <f>B59+0.005</f>
        <v>0.13375000000000001</v>
      </c>
      <c r="C60" s="22">
        <f>($F$11*(1+0.015)/($B$60-0.015))/((1+$B$60)^5)+$B$27-$B$31+$B$32</f>
        <v>27135757.799513068</v>
      </c>
      <c r="D60" s="22">
        <f>($F$11*(1+0.02)/($B$60-0.02))/((1+$B$60)^5)+$B$27-$B$31+$B$32</f>
        <v>27947563.323128656</v>
      </c>
      <c r="E60" s="22">
        <f>($F$11*(1+0.025)/($B$60-0.025))/((1+$B$60)^5)+$B$27-$B$31+$B$32</f>
        <v>28834017.630524985</v>
      </c>
      <c r="F60" s="22">
        <f>($F$11*(1+0.03)/($B$60-0.03))/((1+$B$60)^5)+$B$27-$B$31+$B$32</f>
        <v>29805913.316947468</v>
      </c>
      <c r="G60" s="22">
        <f>(F11*(1+0.035)/(0.11-0.035))/((1+0.11)^5)+B27-B31+B32</f>
        <v>40277259.31952142</v>
      </c>
    </row>
    <row r="61" spans="2:8" x14ac:dyDescent="0.3">
      <c r="B61" s="26">
        <f>B60+0.005</f>
        <v>0.13875000000000001</v>
      </c>
      <c r="C61" s="22">
        <f>($F$11*(1+0.015)/($B$61-0.015))/((1+$B$61)^5)+$B$27-$B$31+$B$32</f>
        <v>26122433.316622257</v>
      </c>
      <c r="D61" s="22">
        <f>($F$11*(1+0.02)/($B$61-0.02))/((1+$B$61)^5)+$B$27-$B$31+$B$32</f>
        <v>26855618.770355139</v>
      </c>
      <c r="E61" s="22">
        <f>($F$11*(1+0.025)/($B$61-0.025))/((1+$B$61)^5)+$B$27-$B$31+$B$32</f>
        <v>27653260.088152438</v>
      </c>
      <c r="F61" s="22">
        <f>($F$11*(1+0.03)/($B$61-0.03))/((1+$B$61)^5)+$B$27-$B$31+$B$32</f>
        <v>28524247.734023072</v>
      </c>
      <c r="G61" s="22">
        <f>(F11*(1+0.035)/(0.115-0.035))/((1+0.115)^5)+B27-B31+B32</f>
        <v>37804312.194676481</v>
      </c>
    </row>
    <row r="63" spans="2:8" x14ac:dyDescent="0.3">
      <c r="B63" s="46"/>
      <c r="C63" s="46"/>
      <c r="D63" s="46"/>
      <c r="E63" s="46"/>
      <c r="F63" s="46"/>
      <c r="G63" s="46"/>
      <c r="H63" s="46"/>
    </row>
    <row r="65" spans="2:8" x14ac:dyDescent="0.3">
      <c r="B65" s="24"/>
    </row>
    <row r="66" spans="2:8" x14ac:dyDescent="0.3">
      <c r="B66" s="43"/>
      <c r="C66" s="43"/>
      <c r="D66" s="43"/>
      <c r="E66" s="43"/>
      <c r="F66" s="43"/>
      <c r="G66" s="43"/>
      <c r="H66" s="43"/>
    </row>
    <row r="67" spans="2:8" x14ac:dyDescent="0.3">
      <c r="B67" s="43"/>
      <c r="C67" s="43"/>
      <c r="D67" s="43"/>
      <c r="E67" s="43"/>
      <c r="F67" s="43"/>
      <c r="G67" s="43"/>
      <c r="H67" s="43"/>
    </row>
    <row r="68" spans="2:8" x14ac:dyDescent="0.3">
      <c r="B68" s="43"/>
      <c r="C68" s="43"/>
      <c r="D68" s="43"/>
      <c r="E68" s="43"/>
      <c r="F68" s="43"/>
      <c r="G68" s="43"/>
      <c r="H68" s="43"/>
    </row>
    <row r="69" spans="2:8" x14ac:dyDescent="0.3">
      <c r="B69" s="43"/>
      <c r="C69" s="43"/>
      <c r="D69" s="43"/>
      <c r="E69" s="43"/>
      <c r="F69" s="43"/>
      <c r="G69" s="43"/>
      <c r="H69" s="43"/>
    </row>
    <row r="70" spans="2:8" x14ac:dyDescent="0.3">
      <c r="B70" s="43"/>
      <c r="C70" s="43"/>
      <c r="D70" s="43"/>
      <c r="E70" s="43"/>
      <c r="F70" s="43"/>
      <c r="G70" s="43"/>
      <c r="H70" s="43"/>
    </row>
  </sheetData>
  <mergeCells count="9">
    <mergeCell ref="B68:H68"/>
    <mergeCell ref="B69:H69"/>
    <mergeCell ref="B70:H70"/>
    <mergeCell ref="B36:H36"/>
    <mergeCell ref="B48:H48"/>
    <mergeCell ref="B51:H51"/>
    <mergeCell ref="B63:H63"/>
    <mergeCell ref="B66:H66"/>
    <mergeCell ref="B67:H67"/>
  </mergeCells>
  <conditionalFormatting sqref="C40:G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:G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0DC2-89BF-4D65-B976-80201A41A749}">
  <dimension ref="A1:P62"/>
  <sheetViews>
    <sheetView topLeftCell="A5" workbookViewId="0">
      <selection activeCell="H48" sqref="H48"/>
    </sheetView>
  </sheetViews>
  <sheetFormatPr baseColWidth="10" defaultColWidth="8.88671875" defaultRowHeight="14.4" x14ac:dyDescent="0.3"/>
  <cols>
    <col min="1" max="1" width="30" customWidth="1"/>
    <col min="2" max="2" width="18" customWidth="1"/>
    <col min="3" max="7" width="15" customWidth="1"/>
    <col min="9" max="9" width="35.5546875" bestFit="1" customWidth="1"/>
    <col min="10" max="10" width="58.44140625" bestFit="1" customWidth="1"/>
    <col min="11" max="11" width="10.109375" bestFit="1" customWidth="1"/>
  </cols>
  <sheetData>
    <row r="1" spans="1:16" ht="18" x14ac:dyDescent="0.35">
      <c r="A1" s="42" t="s">
        <v>174</v>
      </c>
    </row>
    <row r="4" spans="1:16" ht="17.399999999999999" x14ac:dyDescent="0.35">
      <c r="A4" s="47" t="s">
        <v>173</v>
      </c>
      <c r="B4" s="45"/>
      <c r="C4" s="45"/>
      <c r="D4" s="45"/>
      <c r="I4" s="48" t="s">
        <v>134</v>
      </c>
      <c r="J4" s="49"/>
      <c r="K4" s="49"/>
      <c r="L4" s="49"/>
      <c r="M4" s="49"/>
      <c r="N4" s="49"/>
      <c r="O4" s="49"/>
      <c r="P4" s="49"/>
    </row>
    <row r="5" spans="1:16" x14ac:dyDescent="0.3">
      <c r="I5" s="28"/>
      <c r="J5" s="28"/>
      <c r="K5" s="28"/>
      <c r="L5" s="28"/>
      <c r="M5" s="28"/>
      <c r="N5" s="28"/>
      <c r="O5" s="28"/>
      <c r="P5" s="28"/>
    </row>
    <row r="6" spans="1:16" x14ac:dyDescent="0.3">
      <c r="A6" t="s">
        <v>172</v>
      </c>
      <c r="B6">
        <v>2025</v>
      </c>
      <c r="I6" s="31" t="s">
        <v>133</v>
      </c>
      <c r="J6" s="31" t="s">
        <v>132</v>
      </c>
      <c r="K6" s="31" t="s">
        <v>131</v>
      </c>
      <c r="L6" s="28"/>
      <c r="M6" s="28"/>
      <c r="N6" s="28"/>
      <c r="O6" s="28"/>
      <c r="P6" s="28"/>
    </row>
    <row r="7" spans="1:16" x14ac:dyDescent="0.3">
      <c r="A7" t="s">
        <v>171</v>
      </c>
      <c r="B7">
        <v>2029</v>
      </c>
      <c r="I7" s="28" t="s">
        <v>130</v>
      </c>
      <c r="J7" s="28" t="s">
        <v>129</v>
      </c>
      <c r="K7" s="29" t="s">
        <v>119</v>
      </c>
      <c r="L7" s="28"/>
      <c r="M7" s="28"/>
      <c r="N7" s="28"/>
      <c r="O7" s="28"/>
      <c r="P7" s="28"/>
    </row>
    <row r="8" spans="1:16" x14ac:dyDescent="0.3">
      <c r="I8" s="28" t="s">
        <v>128</v>
      </c>
      <c r="J8" s="28" t="s">
        <v>127</v>
      </c>
      <c r="K8" s="30" t="s">
        <v>122</v>
      </c>
      <c r="L8" s="28"/>
      <c r="M8" s="28"/>
      <c r="N8" s="28"/>
      <c r="O8" s="28"/>
      <c r="P8" s="28"/>
    </row>
    <row r="9" spans="1:16" x14ac:dyDescent="0.3">
      <c r="A9" s="41" t="s">
        <v>170</v>
      </c>
      <c r="I9" s="28" t="s">
        <v>126</v>
      </c>
      <c r="J9" s="28" t="s">
        <v>125</v>
      </c>
      <c r="K9" s="29" t="s">
        <v>119</v>
      </c>
      <c r="L9" s="28"/>
      <c r="M9" s="28"/>
      <c r="N9" s="28"/>
      <c r="O9" s="28"/>
      <c r="P9" s="28"/>
    </row>
    <row r="10" spans="1:16" x14ac:dyDescent="0.3">
      <c r="A10" t="s">
        <v>169</v>
      </c>
      <c r="B10" s="34">
        <f>IS!C17</f>
        <v>1303248.5785895959</v>
      </c>
      <c r="I10" s="28" t="s">
        <v>124</v>
      </c>
      <c r="J10" s="28" t="s">
        <v>123</v>
      </c>
      <c r="K10" s="30" t="s">
        <v>122</v>
      </c>
      <c r="L10" s="28"/>
      <c r="M10" s="28"/>
      <c r="N10" s="28"/>
      <c r="O10" s="28"/>
      <c r="P10" s="28"/>
    </row>
    <row r="11" spans="1:16" x14ac:dyDescent="0.3">
      <c r="A11" t="s">
        <v>168</v>
      </c>
      <c r="B11" s="36">
        <v>12</v>
      </c>
      <c r="I11" s="28" t="s">
        <v>121</v>
      </c>
      <c r="J11" s="28" t="s">
        <v>120</v>
      </c>
      <c r="K11" s="29" t="s">
        <v>119</v>
      </c>
      <c r="L11" s="28"/>
      <c r="M11" s="28"/>
      <c r="N11" s="28"/>
      <c r="O11" s="28"/>
      <c r="P11" s="28"/>
    </row>
    <row r="12" spans="1:16" x14ac:dyDescent="0.3">
      <c r="A12" t="s">
        <v>167</v>
      </c>
      <c r="B12" s="35">
        <f>B10*B11</f>
        <v>15638982.94307515</v>
      </c>
    </row>
    <row r="14" spans="1:16" x14ac:dyDescent="0.3">
      <c r="A14" t="s">
        <v>166</v>
      </c>
      <c r="B14" s="34">
        <f>B12</f>
        <v>15638982.94307515</v>
      </c>
    </row>
    <row r="15" spans="1:16" x14ac:dyDescent="0.3">
      <c r="A15" t="s">
        <v>165</v>
      </c>
      <c r="B15" s="40">
        <v>0.03</v>
      </c>
    </row>
    <row r="16" spans="1:16" x14ac:dyDescent="0.3">
      <c r="A16" t="s">
        <v>164</v>
      </c>
      <c r="B16" s="34">
        <f>B14*B15</f>
        <v>469169.48829225451</v>
      </c>
    </row>
    <row r="17" spans="1:4" x14ac:dyDescent="0.3">
      <c r="A17" t="s">
        <v>118</v>
      </c>
      <c r="B17" s="35">
        <f>B14+B16</f>
        <v>16108152.431367405</v>
      </c>
    </row>
    <row r="19" spans="1:4" x14ac:dyDescent="0.3">
      <c r="A19" s="47" t="s">
        <v>163</v>
      </c>
      <c r="B19" s="45"/>
      <c r="C19" s="45"/>
      <c r="D19" s="45"/>
    </row>
    <row r="21" spans="1:4" x14ac:dyDescent="0.3">
      <c r="A21" t="s">
        <v>162</v>
      </c>
      <c r="B21" s="40">
        <v>0.6</v>
      </c>
    </row>
    <row r="22" spans="1:4" x14ac:dyDescent="0.3">
      <c r="A22" t="s">
        <v>161</v>
      </c>
      <c r="B22" s="40">
        <v>0.4</v>
      </c>
    </row>
    <row r="24" spans="1:4" x14ac:dyDescent="0.3">
      <c r="A24" t="s">
        <v>160</v>
      </c>
      <c r="B24" s="35">
        <f>B17*B21</f>
        <v>9664891.4588204417</v>
      </c>
    </row>
    <row r="25" spans="1:4" x14ac:dyDescent="0.3">
      <c r="A25" t="s">
        <v>159</v>
      </c>
      <c r="B25" s="35">
        <f>B17*B22</f>
        <v>6443260.9725469621</v>
      </c>
    </row>
    <row r="26" spans="1:4" x14ac:dyDescent="0.3">
      <c r="A26" t="s">
        <v>158</v>
      </c>
      <c r="B26" s="35">
        <f>B24+B25</f>
        <v>16108152.431367405</v>
      </c>
    </row>
    <row r="28" spans="1:4" x14ac:dyDescent="0.3">
      <c r="A28" t="s">
        <v>157</v>
      </c>
      <c r="B28" s="34">
        <f>B26-B17</f>
        <v>0</v>
      </c>
    </row>
    <row r="30" spans="1:4" x14ac:dyDescent="0.3">
      <c r="A30" s="47" t="s">
        <v>156</v>
      </c>
      <c r="B30" s="45"/>
      <c r="C30" s="45"/>
      <c r="D30" s="45"/>
    </row>
    <row r="32" spans="1:4" x14ac:dyDescent="0.3">
      <c r="A32" t="s">
        <v>155</v>
      </c>
      <c r="B32" s="40">
        <v>6.5000000000000002E-2</v>
      </c>
      <c r="D32" t="s">
        <v>175</v>
      </c>
    </row>
    <row r="33" spans="1:7" x14ac:dyDescent="0.3">
      <c r="A33" t="s">
        <v>154</v>
      </c>
      <c r="B33" t="s">
        <v>153</v>
      </c>
    </row>
    <row r="34" spans="1:7" x14ac:dyDescent="0.3">
      <c r="A34" t="s">
        <v>152</v>
      </c>
      <c r="B34" s="39">
        <v>500000</v>
      </c>
    </row>
    <row r="37" spans="1:7" x14ac:dyDescent="0.3">
      <c r="A37" s="47" t="s">
        <v>151</v>
      </c>
      <c r="B37" s="45"/>
      <c r="C37" s="45"/>
      <c r="D37" s="45"/>
      <c r="E37" s="45"/>
      <c r="F37" s="45"/>
      <c r="G37" s="45"/>
    </row>
    <row r="38" spans="1:7" x14ac:dyDescent="0.3">
      <c r="B38" t="s">
        <v>36</v>
      </c>
      <c r="C38" s="38" t="s">
        <v>3</v>
      </c>
      <c r="D38" s="38" t="s">
        <v>4</v>
      </c>
      <c r="E38" s="38" t="s">
        <v>5</v>
      </c>
      <c r="F38" s="38" t="s">
        <v>6</v>
      </c>
      <c r="G38" s="38" t="s">
        <v>7</v>
      </c>
    </row>
    <row r="39" spans="1:7" x14ac:dyDescent="0.3">
      <c r="A39" t="s">
        <v>150</v>
      </c>
      <c r="B39" s="34">
        <v>0</v>
      </c>
      <c r="C39" s="34">
        <f>B24</f>
        <v>9664891.4588204417</v>
      </c>
      <c r="D39" s="34">
        <f>C43</f>
        <v>9089924.6051323041</v>
      </c>
      <c r="E39" s="34">
        <f>D43</f>
        <v>7410442.4044407774</v>
      </c>
      <c r="F39" s="34">
        <f>E43</f>
        <v>4926196.1789625604</v>
      </c>
      <c r="G39" s="34">
        <f>F43</f>
        <v>1606750.3614956853</v>
      </c>
    </row>
    <row r="40" spans="1:7" x14ac:dyDescent="0.3">
      <c r="A40" t="s">
        <v>149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148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147</v>
      </c>
      <c r="B42">
        <v>0</v>
      </c>
      <c r="C42" s="34">
        <f>MAX(0,MIN(C39,CF!B10-C44-$B$34))</f>
        <v>574966.85368813854</v>
      </c>
      <c r="D42" s="34">
        <f>MAX(0,MIN(D39,CF!C10-D44-$B$34))</f>
        <v>1679482.2006915272</v>
      </c>
      <c r="E42" s="34">
        <f>MAX(0,MIN(E39,CF!D10-E44-$B$34))</f>
        <v>2484246.225478217</v>
      </c>
      <c r="F42" s="34">
        <f>MAX(0,MIN(F39,CF!E10-F44-$B$34))</f>
        <v>3319445.8174668751</v>
      </c>
      <c r="G42" s="34">
        <f>MAX(0,MIN(G39,CF!F10-G44-$B$34))</f>
        <v>1606750.3614956853</v>
      </c>
    </row>
    <row r="43" spans="1:7" x14ac:dyDescent="0.3">
      <c r="A43" t="s">
        <v>146</v>
      </c>
      <c r="B43" s="35">
        <f t="shared" ref="B43:G43" si="0">B39+B40-B41-B42</f>
        <v>0</v>
      </c>
      <c r="C43" s="35">
        <f t="shared" si="0"/>
        <v>9089924.6051323041</v>
      </c>
      <c r="D43" s="35">
        <f t="shared" si="0"/>
        <v>7410442.4044407774</v>
      </c>
      <c r="E43" s="35">
        <f t="shared" si="0"/>
        <v>4926196.1789625604</v>
      </c>
      <c r="F43" s="35">
        <f t="shared" si="0"/>
        <v>1606750.3614956853</v>
      </c>
      <c r="G43" s="35">
        <f t="shared" si="0"/>
        <v>0</v>
      </c>
    </row>
    <row r="45" spans="1:7" x14ac:dyDescent="0.3">
      <c r="A45" t="s">
        <v>145</v>
      </c>
      <c r="B45">
        <v>0</v>
      </c>
      <c r="C45" s="34">
        <f>C39*$B$32</f>
        <v>628217.94482332875</v>
      </c>
      <c r="D45" s="34">
        <f>D39*$B$32</f>
        <v>590845.09933359979</v>
      </c>
      <c r="E45" s="34">
        <f>E39*$B$32</f>
        <v>481678.75628865056</v>
      </c>
      <c r="F45" s="34">
        <f>F39*$B$32</f>
        <v>320202.75163256645</v>
      </c>
      <c r="G45" s="34">
        <f>G39*$B$32</f>
        <v>104438.77349721955</v>
      </c>
    </row>
    <row r="46" spans="1:7" x14ac:dyDescent="0.3">
      <c r="A46" t="s">
        <v>117</v>
      </c>
      <c r="B46">
        <v>0</v>
      </c>
      <c r="C46" s="37">
        <f>IF(IS!C17&gt;0,C43/IS!C17,0)</f>
        <v>6.9748202717931367</v>
      </c>
      <c r="D46" s="37">
        <f>IF(IS!D17&gt;0,D43/IS!D17,0)</f>
        <v>3.0292533368271068</v>
      </c>
      <c r="E46" s="37">
        <f>IF(IS!E17&gt;0,E43/IS!E17,0)</f>
        <v>1.3886655812066919</v>
      </c>
      <c r="F46" s="37">
        <f>IF(IS!F17&gt;0,F43/IS!F17,0)</f>
        <v>0.35659097513458743</v>
      </c>
      <c r="G46" s="37">
        <f>IF(IS!G17&gt;0,G43/IS!G17,0)</f>
        <v>0</v>
      </c>
    </row>
    <row r="49" spans="1:4" x14ac:dyDescent="0.3">
      <c r="A49" s="47" t="s">
        <v>144</v>
      </c>
      <c r="B49" s="45"/>
      <c r="C49" s="45"/>
      <c r="D49" s="45"/>
    </row>
    <row r="51" spans="1:4" x14ac:dyDescent="0.3">
      <c r="A51" t="s">
        <v>143</v>
      </c>
      <c r="B51" s="34">
        <f>IS!G17</f>
        <v>5256712.8804156072</v>
      </c>
    </row>
    <row r="52" spans="1:4" x14ac:dyDescent="0.3">
      <c r="A52" t="s">
        <v>142</v>
      </c>
      <c r="B52" s="36">
        <v>8</v>
      </c>
    </row>
    <row r="53" spans="1:4" x14ac:dyDescent="0.3">
      <c r="A53" t="s">
        <v>141</v>
      </c>
      <c r="B53" s="35">
        <f>B51*B52</f>
        <v>42053703.043324858</v>
      </c>
    </row>
    <row r="54" spans="1:4" x14ac:dyDescent="0.3">
      <c r="A54" t="s">
        <v>140</v>
      </c>
      <c r="B54" s="34">
        <f>G43</f>
        <v>0</v>
      </c>
    </row>
    <row r="55" spans="1:4" x14ac:dyDescent="0.3">
      <c r="A55" t="s">
        <v>138</v>
      </c>
      <c r="B55" s="35">
        <f>B53-B54</f>
        <v>42053703.043324858</v>
      </c>
    </row>
    <row r="57" spans="1:4" x14ac:dyDescent="0.3">
      <c r="A57" t="s">
        <v>139</v>
      </c>
      <c r="B57" s="34">
        <f>B25</f>
        <v>6443260.9725469621</v>
      </c>
    </row>
    <row r="58" spans="1:4" x14ac:dyDescent="0.3">
      <c r="A58" t="s">
        <v>138</v>
      </c>
      <c r="B58" s="34">
        <f>B55</f>
        <v>42053703.043324858</v>
      </c>
    </row>
    <row r="59" spans="1:4" x14ac:dyDescent="0.3">
      <c r="A59" t="s">
        <v>137</v>
      </c>
      <c r="B59" s="34">
        <f>B58-B57</f>
        <v>35610442.070777893</v>
      </c>
    </row>
    <row r="61" spans="1:4" ht="15.6" x14ac:dyDescent="0.3">
      <c r="A61" t="s">
        <v>136</v>
      </c>
      <c r="B61" s="33">
        <f>IF(B57&gt;0,B55/B57,0)</f>
        <v>6.5267732011018351</v>
      </c>
    </row>
    <row r="62" spans="1:4" ht="15.6" x14ac:dyDescent="0.3">
      <c r="A62" t="s">
        <v>135</v>
      </c>
      <c r="B62" s="32">
        <f>IF(B61&gt;0,(B61^(1/5))-1,0)</f>
        <v>0.45525702462502626</v>
      </c>
    </row>
  </sheetData>
  <mergeCells count="6">
    <mergeCell ref="I4:P4"/>
    <mergeCell ref="A4:D4"/>
    <mergeCell ref="A30:D30"/>
    <mergeCell ref="A19:D19"/>
    <mergeCell ref="A49:D49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Assumptions</vt:lpstr>
      <vt:lpstr>IS</vt:lpstr>
      <vt:lpstr>BS</vt:lpstr>
      <vt:lpstr>CF</vt:lpstr>
      <vt:lpstr>DCF</vt:lpstr>
      <vt:lpstr>LBO(No presentar)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Aitor BERNAL</cp:lastModifiedBy>
  <cp:revision>0</cp:revision>
  <dcterms:created xsi:type="dcterms:W3CDTF">2025-11-22T21:50:26Z</dcterms:created>
  <dcterms:modified xsi:type="dcterms:W3CDTF">2025-11-24T22:52:18Z</dcterms:modified>
  <dc:language>en-US</dc:language>
</cp:coreProperties>
</file>