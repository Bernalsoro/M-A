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hmygroup-my.sharepoint.com/personal/aitor_bernal_hmy-group_com/Documents/Escritorio/IEB/Entrevistas/"/>
    </mc:Choice>
  </mc:AlternateContent>
  <xr:revisionPtr revIDLastSave="0" documentId="8_{33352ACE-6C95-4137-B151-9B39D614A0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" sheetId="1" r:id="rId1"/>
    <sheet name="Projection_5Y" sheetId="2" r:id="rId2"/>
    <sheet name="DCF" sheetId="3" r:id="rId3"/>
    <sheet name="WEDGE" sheetId="4" r:id="rId4"/>
    <sheet name="PARAMS" sheetId="5" r:id="rId5"/>
    <sheet name="FLOWS" sheetId="6" r:id="rId6"/>
    <sheet name="OVERLAP" sheetId="7" r:id="rId7"/>
    <sheet name="EMPLOYMENT_MARGIN" sheetId="8" r:id="rId8"/>
    <sheet name="EMPLOYMENT_SALES" sheetId="9" r:id="rId9"/>
    <sheet name="TOTAL_EMPLOYMEN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B4" i="9"/>
  <c r="B7" i="8"/>
  <c r="B8" i="8" s="1"/>
  <c r="B10" i="8" s="1"/>
  <c r="B13" i="8" s="1"/>
  <c r="B14" i="8" s="1"/>
  <c r="B3" i="10" s="1"/>
  <c r="E18" i="7"/>
  <c r="G18" i="7" s="1"/>
  <c r="D18" i="7"/>
  <c r="F18" i="7" s="1"/>
  <c r="H18" i="7" s="1"/>
  <c r="C18" i="7"/>
  <c r="E17" i="7"/>
  <c r="G17" i="7" s="1"/>
  <c r="D17" i="7"/>
  <c r="F17" i="7" s="1"/>
  <c r="H17" i="7" s="1"/>
  <c r="C17" i="7"/>
  <c r="G16" i="7"/>
  <c r="E16" i="7"/>
  <c r="D16" i="7"/>
  <c r="F16" i="7" s="1"/>
  <c r="H16" i="7" s="1"/>
  <c r="C16" i="7"/>
  <c r="E15" i="7"/>
  <c r="G15" i="7" s="1"/>
  <c r="D15" i="7"/>
  <c r="C15" i="7"/>
  <c r="E14" i="7"/>
  <c r="G14" i="7" s="1"/>
  <c r="D14" i="7"/>
  <c r="C14" i="7"/>
  <c r="E13" i="7"/>
  <c r="D13" i="7"/>
  <c r="F13" i="7" s="1"/>
  <c r="C13" i="7"/>
  <c r="G13" i="7" s="1"/>
  <c r="F12" i="7"/>
  <c r="E12" i="7"/>
  <c r="G12" i="7" s="1"/>
  <c r="D12" i="7"/>
  <c r="C12" i="7"/>
  <c r="E11" i="7"/>
  <c r="D11" i="7"/>
  <c r="C11" i="7"/>
  <c r="E10" i="7"/>
  <c r="G10" i="7" s="1"/>
  <c r="D10" i="7"/>
  <c r="F10" i="7" s="1"/>
  <c r="H10" i="7" s="1"/>
  <c r="C10" i="7"/>
  <c r="G9" i="7"/>
  <c r="H9" i="7" s="1"/>
  <c r="E9" i="7"/>
  <c r="D9" i="7"/>
  <c r="C9" i="7"/>
  <c r="F9" i="7" s="1"/>
  <c r="E8" i="7"/>
  <c r="D8" i="7"/>
  <c r="C8" i="7"/>
  <c r="E7" i="7"/>
  <c r="G7" i="7" s="1"/>
  <c r="D7" i="7"/>
  <c r="C7" i="7"/>
  <c r="E6" i="7"/>
  <c r="D6" i="7"/>
  <c r="F6" i="7" s="1"/>
  <c r="C6" i="7"/>
  <c r="G6" i="7" s="1"/>
  <c r="H5" i="7"/>
  <c r="G5" i="7"/>
  <c r="F5" i="7"/>
  <c r="E5" i="7"/>
  <c r="D5" i="7"/>
  <c r="C5" i="7"/>
  <c r="E4" i="7"/>
  <c r="D4" i="7"/>
  <c r="C4" i="7"/>
  <c r="E3" i="7"/>
  <c r="D3" i="7"/>
  <c r="C3" i="7"/>
  <c r="H3" i="6"/>
  <c r="G3" i="6"/>
  <c r="O2" i="7" s="1"/>
  <c r="J7" i="4"/>
  <c r="F7" i="4"/>
  <c r="E7" i="4"/>
  <c r="C7" i="4"/>
  <c r="F6" i="4"/>
  <c r="E6" i="4"/>
  <c r="B6" i="4"/>
  <c r="J5" i="4"/>
  <c r="F5" i="4"/>
  <c r="E5" i="4"/>
  <c r="J4" i="4"/>
  <c r="F4" i="4"/>
  <c r="E4" i="4"/>
  <c r="J3" i="4"/>
  <c r="F3" i="4"/>
  <c r="E3" i="4"/>
  <c r="C3" i="4"/>
  <c r="B3" i="4"/>
  <c r="D3" i="4" s="1"/>
  <c r="E4" i="3"/>
  <c r="C4" i="3"/>
  <c r="B4" i="3"/>
  <c r="E3" i="3"/>
  <c r="C3" i="3"/>
  <c r="B3" i="3"/>
  <c r="D12" i="2"/>
  <c r="E12" i="2" s="1"/>
  <c r="H7" i="4" s="1"/>
  <c r="C12" i="2"/>
  <c r="F12" i="2" s="1"/>
  <c r="H11" i="2"/>
  <c r="G11" i="2"/>
  <c r="D11" i="2"/>
  <c r="C6" i="4" s="1"/>
  <c r="C11" i="2"/>
  <c r="D10" i="2"/>
  <c r="C5" i="4" s="1"/>
  <c r="C10" i="2"/>
  <c r="H10" i="2" s="1"/>
  <c r="H9" i="2"/>
  <c r="G9" i="2"/>
  <c r="D9" i="2"/>
  <c r="C4" i="4" s="1"/>
  <c r="C9" i="2"/>
  <c r="D8" i="2"/>
  <c r="E8" i="2" s="1"/>
  <c r="H3" i="4" s="1"/>
  <c r="C8" i="2"/>
  <c r="F8" i="2" s="1"/>
  <c r="H7" i="2"/>
  <c r="G7" i="2"/>
  <c r="D7" i="2"/>
  <c r="B7" i="4" s="1"/>
  <c r="D7" i="4" s="1"/>
  <c r="C7" i="2"/>
  <c r="D6" i="2"/>
  <c r="E6" i="2" s="1"/>
  <c r="G6" i="4" s="1"/>
  <c r="C6" i="2"/>
  <c r="G6" i="2" s="1"/>
  <c r="H5" i="2"/>
  <c r="G5" i="2"/>
  <c r="D5" i="2"/>
  <c r="B5" i="4" s="1"/>
  <c r="C5" i="2"/>
  <c r="D4" i="2"/>
  <c r="B4" i="4" s="1"/>
  <c r="D4" i="4" s="1"/>
  <c r="C4" i="2"/>
  <c r="H3" i="2"/>
  <c r="G3" i="2"/>
  <c r="D3" i="2"/>
  <c r="E3" i="2" s="1"/>
  <c r="C3" i="2"/>
  <c r="G3" i="4" l="1"/>
  <c r="I3" i="4" s="1"/>
  <c r="F3" i="2"/>
  <c r="I3" i="2" s="1"/>
  <c r="H6" i="7"/>
  <c r="D5" i="4"/>
  <c r="E7" i="2"/>
  <c r="H12" i="7"/>
  <c r="F3" i="7"/>
  <c r="H3" i="7" s="1"/>
  <c r="I8" i="2"/>
  <c r="D6" i="4"/>
  <c r="E5" i="2"/>
  <c r="F15" i="7"/>
  <c r="H15" i="7" s="1"/>
  <c r="F4" i="2"/>
  <c r="E11" i="2"/>
  <c r="G3" i="7"/>
  <c r="H13" i="7"/>
  <c r="K3" i="4"/>
  <c r="F4" i="3"/>
  <c r="G4" i="3" s="1"/>
  <c r="H4" i="3" s="1"/>
  <c r="F4" i="7"/>
  <c r="H4" i="7" s="1"/>
  <c r="F4" i="5"/>
  <c r="G4" i="7"/>
  <c r="E9" i="2"/>
  <c r="F8" i="7"/>
  <c r="F11" i="7"/>
  <c r="G8" i="7"/>
  <c r="G11" i="7"/>
  <c r="F7" i="7"/>
  <c r="H7" i="7" s="1"/>
  <c r="F14" i="7"/>
  <c r="H14" i="7" s="1"/>
  <c r="E4" i="2"/>
  <c r="G4" i="4" s="1"/>
  <c r="E10" i="2"/>
  <c r="H5" i="4" s="1"/>
  <c r="F6" i="2"/>
  <c r="F10" i="2"/>
  <c r="G4" i="2"/>
  <c r="G8" i="2"/>
  <c r="G10" i="2"/>
  <c r="G12" i="2"/>
  <c r="I12" i="2" s="1"/>
  <c r="H4" i="2"/>
  <c r="H6" i="2"/>
  <c r="H8" i="2"/>
  <c r="H12" i="2"/>
  <c r="J6" i="4"/>
  <c r="H11" i="7" l="1"/>
  <c r="G7" i="4"/>
  <c r="F7" i="2"/>
  <c r="H8" i="7"/>
  <c r="I10" i="2"/>
  <c r="I6" i="2"/>
  <c r="H4" i="4"/>
  <c r="K4" i="4" s="1"/>
  <c r="F9" i="2"/>
  <c r="I9" i="2" s="1"/>
  <c r="D4" i="3" s="1"/>
  <c r="I4" i="3" s="1"/>
  <c r="H6" i="4"/>
  <c r="F11" i="2"/>
  <c r="I11" i="2" s="1"/>
  <c r="I4" i="2"/>
  <c r="G5" i="4"/>
  <c r="I5" i="4" s="1"/>
  <c r="F5" i="2"/>
  <c r="I5" i="2" s="1"/>
  <c r="O4" i="7"/>
  <c r="K6" i="4" l="1"/>
  <c r="I6" i="4"/>
  <c r="I4" i="4"/>
  <c r="I7" i="2"/>
  <c r="D3" i="3" s="1"/>
  <c r="F3" i="3"/>
  <c r="G3" i="3" s="1"/>
  <c r="H3" i="3" s="1"/>
  <c r="I7" i="4"/>
  <c r="F3" i="5"/>
  <c r="F5" i="5" s="1"/>
  <c r="F6" i="5" s="1"/>
  <c r="K7" i="4"/>
  <c r="K5" i="4"/>
  <c r="K9" i="4" s="1"/>
  <c r="I17" i="7" l="1"/>
  <c r="J17" i="7" s="1"/>
  <c r="K17" i="7" s="1"/>
  <c r="L17" i="7" s="1"/>
  <c r="I10" i="7"/>
  <c r="J10" i="7" s="1"/>
  <c r="K10" i="7" s="1"/>
  <c r="L10" i="7" s="1"/>
  <c r="I3" i="7"/>
  <c r="J3" i="7" s="1"/>
  <c r="K3" i="7" s="1"/>
  <c r="I18" i="7"/>
  <c r="J18" i="7" s="1"/>
  <c r="K18" i="7" s="1"/>
  <c r="L18" i="7" s="1"/>
  <c r="I11" i="7"/>
  <c r="J11" i="7" s="1"/>
  <c r="K11" i="7" s="1"/>
  <c r="L11" i="7" s="1"/>
  <c r="I15" i="7"/>
  <c r="J15" i="7" s="1"/>
  <c r="K15" i="7" s="1"/>
  <c r="L15" i="7" s="1"/>
  <c r="I8" i="7"/>
  <c r="J8" i="7" s="1"/>
  <c r="K8" i="7" s="1"/>
  <c r="L8" i="7" s="1"/>
  <c r="I4" i="7"/>
  <c r="J4" i="7" s="1"/>
  <c r="K4" i="7" s="1"/>
  <c r="L4" i="7" s="1"/>
  <c r="I12" i="7"/>
  <c r="J12" i="7" s="1"/>
  <c r="K12" i="7" s="1"/>
  <c r="L12" i="7" s="1"/>
  <c r="I14" i="7"/>
  <c r="J14" i="7" s="1"/>
  <c r="K14" i="7" s="1"/>
  <c r="L14" i="7" s="1"/>
  <c r="I7" i="7"/>
  <c r="J7" i="7" s="1"/>
  <c r="K7" i="7" s="1"/>
  <c r="L7" i="7" s="1"/>
  <c r="I5" i="7"/>
  <c r="J5" i="7" s="1"/>
  <c r="K5" i="7" s="1"/>
  <c r="L5" i="7" s="1"/>
  <c r="I16" i="7"/>
  <c r="J16" i="7" s="1"/>
  <c r="K16" i="7" s="1"/>
  <c r="L16" i="7" s="1"/>
  <c r="I13" i="7"/>
  <c r="J13" i="7" s="1"/>
  <c r="K13" i="7" s="1"/>
  <c r="L13" i="7" s="1"/>
  <c r="I6" i="7"/>
  <c r="J6" i="7" s="1"/>
  <c r="K6" i="7" s="1"/>
  <c r="L6" i="7" s="1"/>
  <c r="I9" i="7"/>
  <c r="J9" i="7" s="1"/>
  <c r="K9" i="7" s="1"/>
  <c r="L9" i="7" s="1"/>
  <c r="I3" i="3"/>
  <c r="O3" i="7" l="1"/>
  <c r="L3" i="7"/>
  <c r="O5" i="7" l="1"/>
  <c r="B3" i="9"/>
  <c r="B6" i="9" s="1"/>
  <c r="B7" i="9" s="1"/>
  <c r="B2" i="10" s="1"/>
  <c r="B4" i="10" s="1"/>
</calcChain>
</file>

<file path=xl/sharedStrings.xml><?xml version="1.0" encoding="utf-8"?>
<sst xmlns="http://schemas.openxmlformats.org/spreadsheetml/2006/main" count="236" uniqueCount="143">
  <si>
    <t>Inputs – Current Policy (2025) | Spain vs France (Sector Averages)</t>
  </si>
  <si>
    <t>Item</t>
  </si>
  <si>
    <t>Value</t>
  </si>
  <si>
    <t>Notes</t>
  </si>
  <si>
    <t>Base Year Revenue (Spain)</t>
  </si>
  <si>
    <t>€m</t>
  </si>
  <si>
    <t>Base Year Revenue (France)</t>
  </si>
  <si>
    <t>EBITDA Margin (Spain)</t>
  </si>
  <si>
    <t>EBITDA / Revenue</t>
  </si>
  <si>
    <t>EBITDA Margin (France)</t>
  </si>
  <si>
    <t>Starting €/MWh (Spain)</t>
  </si>
  <si>
    <t>€/MWh (industrial)</t>
  </si>
  <si>
    <t>Starting €/MWh (France)</t>
  </si>
  <si>
    <t>Energy Price CAGR 5Y – Spain (policy)</t>
  </si>
  <si>
    <t>CAGR €/MWh ES política actual</t>
  </si>
  <si>
    <t>Energy Price CAGR 5Y – France (policy)</t>
  </si>
  <si>
    <t>CAGR €/MWh FR política actual</t>
  </si>
  <si>
    <t>EBITDA Sensitivity to +10€/MWh (Spain)</t>
  </si>
  <si>
    <t>impacto por +10 €/MWh</t>
  </si>
  <si>
    <t>EBITDA Sensitivity to +10€/MWh (France)</t>
  </si>
  <si>
    <t>Revenue CAGR 5Y – Spain</t>
  </si>
  <si>
    <t>crecimiento ventas</t>
  </si>
  <si>
    <t>Revenue CAGR 5Y – France</t>
  </si>
  <si>
    <t>Capex / Sales</t>
  </si>
  <si>
    <t>intensidad de capital</t>
  </si>
  <si>
    <t>ΔNWC / Sales</t>
  </si>
  <si>
    <t>necesidades de circulante</t>
  </si>
  <si>
    <t>Tax Rate</t>
  </si>
  <si>
    <t>impuesto efectivo</t>
  </si>
  <si>
    <t>WACC</t>
  </si>
  <si>
    <t>descuento unlevered</t>
  </si>
  <si>
    <t>Exit EV/EBITDA Multiple</t>
  </si>
  <si>
    <t>múltiplo terminal</t>
  </si>
  <si>
    <t>5-Year Projection – Current Policy (Spain vs France)</t>
  </si>
  <si>
    <t>Year</t>
  </si>
  <si>
    <t>Country</t>
  </si>
  <si>
    <t>Revenue</t>
  </si>
  <si>
    <t>€/MWh</t>
  </si>
  <si>
    <t>EBITDA Margin</t>
  </si>
  <si>
    <t>EBITDA</t>
  </si>
  <si>
    <t>Capex</t>
  </si>
  <si>
    <t>ΔNWC</t>
  </si>
  <si>
    <t>FCF</t>
  </si>
  <si>
    <t>Spain</t>
  </si>
  <si>
    <t>France</t>
  </si>
  <si>
    <t>DCF – Unlevered (Current Policy)</t>
  </si>
  <si>
    <t>PV(FCF)</t>
  </si>
  <si>
    <t>Exit EV/EBITDA</t>
  </si>
  <si>
    <t>EBITDA (Y5)</t>
  </si>
  <si>
    <t>Terminal Value</t>
  </si>
  <si>
    <t>PV(Terminal)</t>
  </si>
  <si>
    <t>Enterprise Value</t>
  </si>
  <si>
    <t>Wedge de coste eléctrico y compresión de margen (ES vs FR)</t>
  </si>
  <si>
    <t>€/MWh ES</t>
  </si>
  <si>
    <t>€/MWh FR</t>
  </si>
  <si>
    <t>Wedge €/MWh (ES-FR)</t>
  </si>
  <si>
    <t>Base Margin ES</t>
  </si>
  <si>
    <t>Base Margin FR</t>
  </si>
  <si>
    <t>Proj Margin ES</t>
  </si>
  <si>
    <t>Proj Margin FR</t>
  </si>
  <si>
    <t>Margin Gap (ES-FR)</t>
  </si>
  <si>
    <t>Revenue ES</t>
  </si>
  <si>
    <t>EBITDA Loss ES vs FR (€/m)</t>
  </si>
  <si>
    <t>Total EBITDA Loss ES (€/m)</t>
  </si>
  <si>
    <t>Parámetros de competitividad y empleo</t>
  </si>
  <si>
    <t>Derived (selected year)</t>
  </si>
  <si>
    <t>Year_Selected (1..5)</t>
  </si>
  <si>
    <t>Año de referencia para competitividad</t>
  </si>
  <si>
    <t>ES Proj Margin (sel)</t>
  </si>
  <si>
    <t>PassThrough_to_Price (0..1)</t>
  </si>
  <si>
    <t>Parte del gap de coste que se traslada a precio</t>
  </si>
  <si>
    <t>FR Proj Margin (sel)</t>
  </si>
  <si>
    <t>Elasticity_Price_to_Share</t>
  </si>
  <si>
    <t>Elasticidad de cuota ante diferencial de precio</t>
  </si>
  <si>
    <t>Cost Gap % of Revenue</t>
  </si>
  <si>
    <t>Direct_Jobs_per_€m_Sales</t>
  </si>
  <si>
    <t>Empleo directo por €m de ventas</t>
  </si>
  <si>
    <t>Price Delta %</t>
  </si>
  <si>
    <t>Indirect_Multiplier</t>
  </si>
  <si>
    <t>Multiplicador indirecto/inducido</t>
  </si>
  <si>
    <t>Flujos por mercado y subsegmento (rellenar datos)</t>
  </si>
  <si>
    <t>País</t>
  </si>
  <si>
    <t>Sector</t>
  </si>
  <si>
    <t>MarketSize_€m (Importaciones 2024)</t>
  </si>
  <si>
    <t>ES_Sales_€m</t>
  </si>
  <si>
    <t>FR_Sales_€m</t>
  </si>
  <si>
    <t>Total ES Sales</t>
  </si>
  <si>
    <t>Total FR Sales</t>
  </si>
  <si>
    <t>Germany</t>
  </si>
  <si>
    <t>Aluminio</t>
  </si>
  <si>
    <t>Italy</t>
  </si>
  <si>
    <t>Netherlands</t>
  </si>
  <si>
    <t>Belgium</t>
  </si>
  <si>
    <t>Poland</t>
  </si>
  <si>
    <t>Czechia</t>
  </si>
  <si>
    <t>Acerías eléctricas</t>
  </si>
  <si>
    <t>Solapamiento competitivo y ventas perdidas (ES)</t>
  </si>
  <si>
    <t>MarketSize_€m</t>
  </si>
  <si>
    <t>ES_Share</t>
  </si>
  <si>
    <t>FR_Share</t>
  </si>
  <si>
    <t>OverlapShare</t>
  </si>
  <si>
    <t>PriceDeltaPct (sel)</t>
  </si>
  <si>
    <t>ShareLossFactor</t>
  </si>
  <si>
    <t>Lost_ES_Sales_€m</t>
  </si>
  <si>
    <t>Contribution_to_ES_%</t>
  </si>
  <si>
    <t>Total Lost ES Sales (€/m)</t>
  </si>
  <si>
    <t>% ES en competencia directa (avg overlap)</t>
  </si>
  <si>
    <t>% de ventas ES potencialmente perdidas</t>
  </si>
  <si>
    <t>Empleo afectado por bajada de margen EBITDA (aprox.)</t>
  </si>
  <si>
    <t>Metric</t>
  </si>
  <si>
    <t>Year Selected</t>
  </si>
  <si>
    <t>Año para el cálculo (PARAMS)</t>
  </si>
  <si>
    <t>Revenue ES (sel, €m)</t>
  </si>
  <si>
    <t>Ingresos ES en el año seleccionado</t>
  </si>
  <si>
    <t>Margen EBITDA base ES</t>
  </si>
  <si>
    <t>Proj Margin ES (sel)</t>
  </si>
  <si>
    <t>Margen EBITDA proyectado ES (ajustado por energía)</t>
  </si>
  <si>
    <t>Margin Delta (Base - Proj)</t>
  </si>
  <si>
    <t>Pérdida de margen en puntos porcentuales</t>
  </si>
  <si>
    <t>EBITDA Loss (€/m)</t>
  </si>
  <si>
    <t>Ingresos × Delta de margen</t>
  </si>
  <si>
    <t>Share of EBITDA Loss → Volume</t>
  </si>
  <si>
    <t>Proporción que se traslada a menor volumen/empleo</t>
  </si>
  <si>
    <t>Sales-Equivalent Loss (€/m)</t>
  </si>
  <si>
    <t>Convierte pérdida EBITDA a ventas equivalentes afectadas</t>
  </si>
  <si>
    <t>Direct Jobs per €m Sales</t>
  </si>
  <si>
    <t>Indirect Multiplier</t>
  </si>
  <si>
    <t>Direct Jobs Lost (margin effect)</t>
  </si>
  <si>
    <t>Empleo directo asociado a la pérdida por margen</t>
  </si>
  <si>
    <t>Total Jobs Lost (margin effect)</t>
  </si>
  <si>
    <t>Total (directo + indirecto)</t>
  </si>
  <si>
    <t>Empleo afectado por pérdida de ventas (estimación)</t>
  </si>
  <si>
    <t>Lost ES Sales (€/m)</t>
  </si>
  <si>
    <t>Ventas españolas potencialmente perdidas</t>
  </si>
  <si>
    <t>Dato editable</t>
  </si>
  <si>
    <t>Efecto indirecto/inducido</t>
  </si>
  <si>
    <t>Direct Jobs Lost</t>
  </si>
  <si>
    <t>Empleo directo afectado</t>
  </si>
  <si>
    <t>Total Jobs Lost (Direct x Multiplier)</t>
  </si>
  <si>
    <t>Impacto total</t>
  </si>
  <si>
    <t>Jobs Lost (Sales effect)</t>
  </si>
  <si>
    <t>Jobs Lost (margin effect)</t>
  </si>
  <si>
    <t>Total Jobs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</si>
</sst>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5" formatCode="0.0000%"/>
    <numFmt numFmtId="167" formatCode="#,##0.000"/>
    <numFmt numFmtId="168" formatCode="0.000%"/>
    <numFmt numFmtId="169" formatCode="0.0"/>
    <numFmt numFmtId="170" formatCode="0.000"/>
    <numFmt numFmtId="171" formatCode="#,##0.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A1A2E"/>
      <name val="Arial"/>
    </font>
    <font>
      <b/>
      <sz val="12"/>
      <color rgb="FFFFFFFF"/>
      <name val="Arial"/>
    </font>
    <font>
      <sz val="10"/>
      <color rgb="FF2C3E50"/>
      <name val="Arial"/>
    </font>
    <font>
      <b/>
      <sz val="10"/>
      <color rgb="FF0000FF"/>
      <name val="Arial"/>
    </font>
    <font>
      <i/>
      <sz val="9"/>
      <color rgb="FF7F8C8D"/>
      <name val="Arial"/>
    </font>
    <font>
      <sz val="10"/>
      <color rgb="FF000000"/>
      <name val="Arial"/>
    </font>
    <font>
      <b/>
      <sz val="12"/>
      <color rgb="FF1A1A2E"/>
      <name val="Arial"/>
    </font>
  </fonts>
  <fills count="8">
    <fill>
      <patternFill patternType="none"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E67E22"/>
        <bgColor rgb="FFE67E22"/>
      </patternFill>
    </fill>
    <fill>
      <patternFill patternType="solid">
        <fgColor rgb="FFFFEBEE"/>
        <bgColor rgb="FFFFEBEE"/>
      </patternFill>
    </fill>
    <fill>
      <patternFill patternType="solid">
        <fgColor rgb="FFE8F8F5"/>
        <bgColor rgb="FFE8F8F5"/>
      </patternFill>
    </fill>
    <fill>
      <patternFill patternType="solid">
        <fgColor rgb="FFF8F9FA"/>
        <bgColor rgb="FFF8F9FA"/>
      </patternFill>
    </fill>
    <fill>
      <patternFill patternType="solid">
        <fgColor rgb="FFFFD700"/>
        <bgColor rgb="FFFFD700"/>
      </patternFill>
    </fill>
  </fills>
  <borders count="2">
    <border>
      <left/>
      <right/>
      <top/>
      <bottom/>
      <diagonal/>
    </border>
    <border>
      <left style="thin">
        <color rgb="FF95A5A6"/>
      </left>
      <right style="thin">
        <color rgb="FF95A5A6"/>
      </right>
      <top style="thin">
        <color rgb="FF95A5A6"/>
      </top>
      <bottom style="thin">
        <color rgb="FF95A5A6"/>
      </bottom>
      <diagonal/>
    </border>
  </borders>
  <cellStyleXfs count="3">
    <xf numFmtId="0" fontId="0" fillId="0" borderId="0"/>
    <xf numFmtId="9" fontId="2" fillId="0" borderId="0"/>
    <xf numFmtId="44" fontId="2" fillId="0" borderId="0"/>
  </cellStyleXfs>
  <cellXfs count="63">
    <xf numFmtId="0" fontId="0" fillId="0" borderId="0" xfId="0"/>
    <xf numFmtId="0" fontId="1" fillId="0" borderId="0" xfId="0" applyFont="1"/>
    <xf numFmtId="9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1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7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167" fontId="7" fillId="0" borderId="1" xfId="1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/>
    </xf>
    <xf numFmtId="167" fontId="9" fillId="4" borderId="1" xfId="0" applyNumberFormat="1" applyFont="1" applyFill="1" applyBorder="1" applyAlignment="1">
      <alignment horizontal="right" vertical="center"/>
    </xf>
    <xf numFmtId="168" fontId="9" fillId="4" borderId="1" xfId="1" applyNumberFormat="1" applyFont="1" applyFill="1" applyBorder="1" applyAlignment="1">
      <alignment horizontal="right" vertical="center"/>
    </xf>
    <xf numFmtId="2" fontId="6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168" fontId="9" fillId="5" borderId="1" xfId="1" applyNumberFormat="1" applyFont="1" applyFill="1" applyBorder="1" applyAlignment="1">
      <alignment horizontal="right" vertical="center"/>
    </xf>
    <xf numFmtId="2" fontId="6" fillId="5" borderId="1" xfId="0" applyNumberFormat="1" applyFont="1" applyFill="1" applyBorder="1" applyAlignment="1">
      <alignment horizontal="right" vertical="center"/>
    </xf>
    <xf numFmtId="10" fontId="9" fillId="4" borderId="1" xfId="1" applyNumberFormat="1" applyFont="1" applyFill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right" vertical="center"/>
    </xf>
    <xf numFmtId="169" fontId="9" fillId="4" borderId="1" xfId="0" applyNumberFormat="1" applyFont="1" applyFill="1" applyBorder="1" applyAlignment="1">
      <alignment horizontal="right" vertical="center"/>
    </xf>
    <xf numFmtId="10" fontId="9" fillId="5" borderId="1" xfId="1" applyNumberFormat="1" applyFont="1" applyFill="1" applyBorder="1" applyAlignment="1">
      <alignment horizontal="right" vertical="center"/>
    </xf>
    <xf numFmtId="4" fontId="9" fillId="5" borderId="1" xfId="0" applyNumberFormat="1" applyFont="1" applyFill="1" applyBorder="1" applyAlignment="1">
      <alignment horizontal="right" vertical="center"/>
    </xf>
    <xf numFmtId="169" fontId="9" fillId="5" borderId="1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0" fontId="9" fillId="0" borderId="1" xfId="1" applyNumberFormat="1" applyFont="1" applyBorder="1" applyAlignment="1">
      <alignment horizontal="right" vertical="center"/>
    </xf>
    <xf numFmtId="170" fontId="9" fillId="0" borderId="1" xfId="0" applyNumberFormat="1" applyFont="1" applyBorder="1" applyAlignment="1">
      <alignment horizontal="right" vertical="center"/>
    </xf>
    <xf numFmtId="171" fontId="9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wrapText="1"/>
    </xf>
    <xf numFmtId="171" fontId="9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44" fontId="6" fillId="0" borderId="1" xfId="2" applyFont="1" applyBorder="1" applyAlignment="1">
      <alignment horizontal="right" vertical="center"/>
    </xf>
    <xf numFmtId="9" fontId="6" fillId="0" borderId="1" xfId="1" applyFont="1" applyBorder="1" applyAlignment="1">
      <alignment horizontal="right" vertical="center"/>
    </xf>
    <xf numFmtId="10" fontId="6" fillId="0" borderId="1" xfId="1" applyNumberFormat="1" applyFont="1" applyBorder="1" applyAlignment="1">
      <alignment horizontal="right" vertical="center"/>
    </xf>
    <xf numFmtId="165" fontId="6" fillId="0" borderId="1" xfId="1" applyNumberFormat="1" applyFont="1" applyBorder="1" applyAlignment="1">
      <alignment horizontal="right" vertical="center"/>
    </xf>
    <xf numFmtId="44" fontId="6" fillId="6" borderId="1" xfId="2" applyFont="1" applyFill="1" applyBorder="1" applyAlignment="1">
      <alignment horizontal="right" vertical="center"/>
    </xf>
    <xf numFmtId="9" fontId="6" fillId="6" borderId="1" xfId="1" applyFont="1" applyFill="1" applyBorder="1" applyAlignment="1">
      <alignment horizontal="right" vertical="center"/>
    </xf>
    <xf numFmtId="10" fontId="6" fillId="6" borderId="1" xfId="1" applyNumberFormat="1" applyFont="1" applyFill="1" applyBorder="1" applyAlignment="1">
      <alignment horizontal="right" vertical="center"/>
    </xf>
    <xf numFmtId="165" fontId="6" fillId="6" borderId="1" xfId="1" applyNumberFormat="1" applyFont="1" applyFill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4" fontId="9" fillId="0" borderId="1" xfId="2" applyNumberFormat="1" applyFont="1" applyBorder="1" applyAlignment="1">
      <alignment horizontal="right" vertical="center"/>
    </xf>
    <xf numFmtId="168" fontId="9" fillId="0" borderId="1" xfId="1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left" vertical="center" wrapText="1"/>
    </xf>
    <xf numFmtId="1" fontId="10" fillId="7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50" customWidth="1"/>
    <col min="2" max="2" width="15" customWidth="1"/>
    <col min="3" max="3" width="35" customWidth="1"/>
  </cols>
  <sheetData>
    <row r="1" spans="1:12" ht="18.75" customHeight="1" x14ac:dyDescent="0.3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15.6" x14ac:dyDescent="0.3">
      <c r="A2" s="9" t="s">
        <v>1</v>
      </c>
      <c r="B2" s="9" t="s">
        <v>2</v>
      </c>
      <c r="C2" s="9" t="s">
        <v>3</v>
      </c>
    </row>
    <row r="3" spans="1:12" x14ac:dyDescent="0.3">
      <c r="A3" s="10" t="s">
        <v>4</v>
      </c>
      <c r="B3" s="11">
        <v>3900</v>
      </c>
      <c r="C3" s="12" t="s">
        <v>5</v>
      </c>
    </row>
    <row r="4" spans="1:12" x14ac:dyDescent="0.3">
      <c r="A4" s="10" t="s">
        <v>6</v>
      </c>
      <c r="B4" s="11">
        <v>4200</v>
      </c>
      <c r="C4" s="12" t="s">
        <v>5</v>
      </c>
    </row>
    <row r="5" spans="1:12" x14ac:dyDescent="0.3">
      <c r="A5" s="10" t="s">
        <v>7</v>
      </c>
      <c r="B5" s="13">
        <v>0.09</v>
      </c>
      <c r="C5" s="12" t="s">
        <v>8</v>
      </c>
    </row>
    <row r="6" spans="1:12" x14ac:dyDescent="0.3">
      <c r="A6" s="10" t="s">
        <v>9</v>
      </c>
      <c r="B6" s="13">
        <v>0.11</v>
      </c>
      <c r="C6" s="12" t="s">
        <v>8</v>
      </c>
    </row>
    <row r="7" spans="1:12" x14ac:dyDescent="0.3">
      <c r="A7" s="10" t="s">
        <v>10</v>
      </c>
      <c r="B7" s="11">
        <v>65</v>
      </c>
      <c r="C7" s="12" t="s">
        <v>11</v>
      </c>
    </row>
    <row r="8" spans="1:12" x14ac:dyDescent="0.3">
      <c r="A8" s="10" t="s">
        <v>12</v>
      </c>
      <c r="B8" s="11">
        <v>55</v>
      </c>
      <c r="C8" s="12" t="s">
        <v>11</v>
      </c>
    </row>
    <row r="9" spans="1:12" x14ac:dyDescent="0.3">
      <c r="A9" s="10" t="s">
        <v>13</v>
      </c>
      <c r="B9" s="13">
        <v>2.5000000000000001E-2</v>
      </c>
      <c r="C9" s="12" t="s">
        <v>14</v>
      </c>
    </row>
    <row r="10" spans="1:12" x14ac:dyDescent="0.3">
      <c r="A10" s="10" t="s">
        <v>15</v>
      </c>
      <c r="B10" s="13">
        <v>0.01</v>
      </c>
      <c r="C10" s="12" t="s">
        <v>16</v>
      </c>
    </row>
    <row r="11" spans="1:12" x14ac:dyDescent="0.3">
      <c r="A11" s="10" t="s">
        <v>17</v>
      </c>
      <c r="B11" s="13">
        <v>2.5000000000000001E-2</v>
      </c>
      <c r="C11" s="12" t="s">
        <v>18</v>
      </c>
      <c r="G11" s="2"/>
    </row>
    <row r="12" spans="1:12" x14ac:dyDescent="0.3">
      <c r="A12" s="10" t="s">
        <v>19</v>
      </c>
      <c r="B12" s="13">
        <v>2.5000000000000001E-2</v>
      </c>
      <c r="C12" s="12" t="s">
        <v>18</v>
      </c>
    </row>
    <row r="13" spans="1:12" x14ac:dyDescent="0.3">
      <c r="A13" s="10" t="s">
        <v>20</v>
      </c>
      <c r="B13" s="13">
        <v>3.7999999999999999E-2</v>
      </c>
      <c r="C13" s="12" t="s">
        <v>21</v>
      </c>
    </row>
    <row r="14" spans="1:12" x14ac:dyDescent="0.3">
      <c r="A14" s="10" t="s">
        <v>22</v>
      </c>
      <c r="B14" s="13">
        <v>0.04</v>
      </c>
      <c r="C14" s="12" t="s">
        <v>21</v>
      </c>
    </row>
    <row r="15" spans="1:12" x14ac:dyDescent="0.3">
      <c r="A15" s="10" t="s">
        <v>23</v>
      </c>
      <c r="B15" s="13">
        <v>0.04</v>
      </c>
      <c r="C15" s="12" t="s">
        <v>24</v>
      </c>
    </row>
    <row r="16" spans="1:12" x14ac:dyDescent="0.3">
      <c r="A16" s="10" t="s">
        <v>25</v>
      </c>
      <c r="B16" s="13">
        <v>0.01</v>
      </c>
      <c r="C16" s="12" t="s">
        <v>26</v>
      </c>
    </row>
    <row r="17" spans="1:4" x14ac:dyDescent="0.3">
      <c r="A17" s="10" t="s">
        <v>27</v>
      </c>
      <c r="B17" s="13">
        <v>0.25</v>
      </c>
      <c r="C17" s="12" t="s">
        <v>28</v>
      </c>
    </row>
    <row r="18" spans="1:4" x14ac:dyDescent="0.3">
      <c r="A18" s="10" t="s">
        <v>29</v>
      </c>
      <c r="B18" s="13">
        <v>0.09</v>
      </c>
      <c r="C18" s="12" t="s">
        <v>30</v>
      </c>
    </row>
    <row r="19" spans="1:4" x14ac:dyDescent="0.3">
      <c r="A19" s="10" t="s">
        <v>31</v>
      </c>
      <c r="B19" s="11">
        <v>7</v>
      </c>
      <c r="C19" s="12" t="s">
        <v>32</v>
      </c>
    </row>
    <row r="29" spans="1:4" x14ac:dyDescent="0.3">
      <c r="C29" s="3"/>
      <c r="D29" s="3"/>
    </row>
    <row r="30" spans="1:4" x14ac:dyDescent="0.3">
      <c r="C30" s="4"/>
      <c r="D30" s="5"/>
    </row>
    <row r="31" spans="1:4" x14ac:dyDescent="0.3">
      <c r="C31" s="4"/>
      <c r="D31" s="5"/>
    </row>
    <row r="32" spans="1:4" x14ac:dyDescent="0.3">
      <c r="C32" s="4"/>
      <c r="D32" s="6"/>
    </row>
    <row r="33" spans="3:4" x14ac:dyDescent="0.3">
      <c r="C33" s="4"/>
      <c r="D33" s="6"/>
    </row>
    <row r="34" spans="3:4" x14ac:dyDescent="0.3">
      <c r="C34" s="4"/>
      <c r="D34" s="5"/>
    </row>
    <row r="35" spans="3:4" x14ac:dyDescent="0.3">
      <c r="C35" s="4"/>
      <c r="D35" s="5"/>
    </row>
    <row r="36" spans="3:4" x14ac:dyDescent="0.3">
      <c r="C36" s="4"/>
      <c r="D36" s="6"/>
    </row>
    <row r="37" spans="3:4" x14ac:dyDescent="0.3">
      <c r="C37" s="4"/>
      <c r="D37" s="6"/>
    </row>
    <row r="38" spans="3:4" x14ac:dyDescent="0.3">
      <c r="C38" s="4"/>
      <c r="D38" s="5"/>
    </row>
    <row r="39" spans="3:4" x14ac:dyDescent="0.3">
      <c r="C39" s="4"/>
      <c r="D39" s="5"/>
    </row>
    <row r="40" spans="3:4" x14ac:dyDescent="0.3">
      <c r="C40" s="4"/>
      <c r="D40" s="6"/>
    </row>
    <row r="41" spans="3:4" x14ac:dyDescent="0.3">
      <c r="C41" s="4"/>
      <c r="D41" s="6"/>
    </row>
    <row r="42" spans="3:4" x14ac:dyDescent="0.3">
      <c r="C42" s="4"/>
      <c r="D42" s="6"/>
    </row>
    <row r="43" spans="3:4" x14ac:dyDescent="0.3">
      <c r="C43" s="4"/>
      <c r="D43" s="6"/>
    </row>
    <row r="44" spans="3:4" x14ac:dyDescent="0.3">
      <c r="C44" s="4"/>
      <c r="D44" s="7"/>
    </row>
    <row r="45" spans="3:4" x14ac:dyDescent="0.3">
      <c r="C45" s="4"/>
      <c r="D45" s="6"/>
    </row>
    <row r="46" spans="3:4" x14ac:dyDescent="0.3">
      <c r="C46" s="4"/>
      <c r="D46" s="5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C3" sqref="C3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9" width="14" customWidth="1"/>
  </cols>
  <sheetData>
    <row r="1" spans="1:12" ht="18.75" customHeight="1" x14ac:dyDescent="0.3">
      <c r="A1" s="60" t="s">
        <v>33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31.2" x14ac:dyDescent="0.3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H2" s="9" t="s">
        <v>41</v>
      </c>
      <c r="I2" s="9" t="s">
        <v>42</v>
      </c>
    </row>
    <row r="3" spans="1:12" x14ac:dyDescent="0.3">
      <c r="A3" s="14">
        <v>1</v>
      </c>
      <c r="B3" s="14" t="s">
        <v>43</v>
      </c>
      <c r="C3" s="15">
        <f>Inputs!B3*(1+Inputs!B13)^A3</f>
        <v>4048.2000000000003</v>
      </c>
      <c r="D3" s="16">
        <f>Inputs!B7*(1+Inputs!B9)^A3</f>
        <v>66.625</v>
      </c>
      <c r="E3" s="17">
        <f>Inputs!B5 - ((D3-Inputs!B7)/10)*Inputs!B11</f>
        <v>8.59375E-2</v>
      </c>
      <c r="F3" s="15">
        <f t="shared" ref="F3:F12" si="0">C3*E3</f>
        <v>347.89218750000003</v>
      </c>
      <c r="G3" s="15">
        <f>C3*Inputs!B15</f>
        <v>161.92800000000003</v>
      </c>
      <c r="H3" s="15">
        <f>C3*Inputs!B16</f>
        <v>40.482000000000006</v>
      </c>
      <c r="I3" s="18">
        <f>F3*(1-Inputs!B17) - G3 - H3</f>
        <v>58.509140624999979</v>
      </c>
    </row>
    <row r="4" spans="1:12" x14ac:dyDescent="0.3">
      <c r="A4" s="14">
        <v>2</v>
      </c>
      <c r="B4" s="14" t="s">
        <v>43</v>
      </c>
      <c r="C4" s="15">
        <f>Inputs!B3*(1+Inputs!B13)^A4</f>
        <v>4202.0316000000003</v>
      </c>
      <c r="D4" s="16">
        <f>Inputs!B7*(1+Inputs!B9)^A4</f>
        <v>68.290624999999991</v>
      </c>
      <c r="E4" s="17">
        <f>Inputs!B5 - ((D4-Inputs!B7)/10)*Inputs!B11</f>
        <v>8.1773437500000018E-2</v>
      </c>
      <c r="F4" s="15">
        <f t="shared" si="0"/>
        <v>343.61456841562511</v>
      </c>
      <c r="G4" s="15">
        <f>C4*Inputs!B15</f>
        <v>168.081264</v>
      </c>
      <c r="H4" s="15">
        <f>C4*Inputs!B16</f>
        <v>42.020316000000001</v>
      </c>
      <c r="I4" s="18">
        <f>F4*(1-Inputs!B17) - G4 - H4</f>
        <v>47.609346311718816</v>
      </c>
    </row>
    <row r="5" spans="1:12" x14ac:dyDescent="0.3">
      <c r="A5" s="14">
        <v>3</v>
      </c>
      <c r="B5" s="14" t="s">
        <v>43</v>
      </c>
      <c r="C5" s="15">
        <f>Inputs!B3*(1+Inputs!B13)^A5</f>
        <v>4361.7088008000001</v>
      </c>
      <c r="D5" s="16">
        <f>Inputs!B7*(1+Inputs!B9)^A5</f>
        <v>69.997890624999997</v>
      </c>
      <c r="E5" s="17">
        <f>Inputs!B5 - ((D5-Inputs!B7)/10)*Inputs!B11</f>
        <v>7.7505273437500008E-2</v>
      </c>
      <c r="F5" s="15">
        <f t="shared" si="0"/>
        <v>338.05543326075428</v>
      </c>
      <c r="G5" s="15">
        <f>C5*Inputs!B15</f>
        <v>174.46835203200001</v>
      </c>
      <c r="H5" s="15">
        <f>C5*Inputs!B16</f>
        <v>43.617088008000003</v>
      </c>
      <c r="I5" s="18">
        <f>F5*(1-Inputs!B17) - G5 - H5</f>
        <v>35.456134905565698</v>
      </c>
    </row>
    <row r="6" spans="1:12" x14ac:dyDescent="0.3">
      <c r="A6" s="14">
        <v>4</v>
      </c>
      <c r="B6" s="14" t="s">
        <v>43</v>
      </c>
      <c r="C6" s="15">
        <f>Inputs!B3*(1+Inputs!B13)^A6</f>
        <v>4527.4537352304005</v>
      </c>
      <c r="D6" s="16">
        <f>Inputs!B7*(1+Inputs!B9)^A6</f>
        <v>71.747837890624979</v>
      </c>
      <c r="E6" s="17">
        <f>Inputs!B5 - ((D6-Inputs!B7)/10)*Inputs!B11</f>
        <v>7.3130405273437546E-2</v>
      </c>
      <c r="F6" s="15">
        <f t="shared" si="0"/>
        <v>331.09452651413778</v>
      </c>
      <c r="G6" s="15">
        <f>C6*Inputs!B15</f>
        <v>181.09814940921603</v>
      </c>
      <c r="H6" s="15">
        <f>C6*Inputs!B16</f>
        <v>45.274537352304009</v>
      </c>
      <c r="I6" s="18">
        <f>F6*(1-Inputs!B17) - G6 - H6</f>
        <v>21.948208124083294</v>
      </c>
    </row>
    <row r="7" spans="1:12" x14ac:dyDescent="0.3">
      <c r="A7" s="14">
        <v>5</v>
      </c>
      <c r="B7" s="14" t="s">
        <v>43</v>
      </c>
      <c r="C7" s="15">
        <f>Inputs!B3*(1+Inputs!B13)^A7</f>
        <v>4699.4969771691558</v>
      </c>
      <c r="D7" s="16">
        <f>Inputs!B7*(1+Inputs!B9)^A7</f>
        <v>73.541533837890597</v>
      </c>
      <c r="E7" s="17">
        <f>Inputs!B5 - ((D7-Inputs!B7)/10)*Inputs!B11</f>
        <v>6.8646165405273504E-2</v>
      </c>
      <c r="F7" s="15">
        <f t="shared" si="0"/>
        <v>322.60244681633674</v>
      </c>
      <c r="G7" s="15">
        <f>C7*Inputs!B15</f>
        <v>187.97987908676623</v>
      </c>
      <c r="H7" s="15">
        <f>C7*Inputs!B16</f>
        <v>46.994969771691558</v>
      </c>
      <c r="I7" s="18">
        <f>F7*(1-Inputs!B17) - G7 - H7</f>
        <v>6.9769862537947631</v>
      </c>
    </row>
    <row r="8" spans="1:12" x14ac:dyDescent="0.3">
      <c r="A8" s="19">
        <v>1</v>
      </c>
      <c r="B8" s="19" t="s">
        <v>44</v>
      </c>
      <c r="C8" s="20">
        <f>Inputs!B4*(1+Inputs!B14)^A8</f>
        <v>4368</v>
      </c>
      <c r="D8" s="21">
        <f>Inputs!B8*(1+Inputs!B10)^A8</f>
        <v>55.55</v>
      </c>
      <c r="E8" s="22">
        <f>Inputs!B6 - ((D8-Inputs!B8)/10)*Inputs!B12</f>
        <v>0.10862500000000001</v>
      </c>
      <c r="F8" s="20">
        <f t="shared" si="0"/>
        <v>474.47400000000005</v>
      </c>
      <c r="G8" s="20">
        <f>C8*Inputs!B15</f>
        <v>174.72</v>
      </c>
      <c r="H8" s="20">
        <f>C8*Inputs!B16</f>
        <v>43.68</v>
      </c>
      <c r="I8" s="23">
        <f>F8*(1-Inputs!B17) - G8 - H8</f>
        <v>137.4555</v>
      </c>
    </row>
    <row r="9" spans="1:12" x14ac:dyDescent="0.3">
      <c r="A9" s="19">
        <v>2</v>
      </c>
      <c r="B9" s="19" t="s">
        <v>44</v>
      </c>
      <c r="C9" s="20">
        <f>Inputs!B4*(1+Inputs!B14)^A9</f>
        <v>4542.72</v>
      </c>
      <c r="D9" s="21">
        <f>Inputs!B8*(1+Inputs!B10)^A9</f>
        <v>56.105499999999999</v>
      </c>
      <c r="E9" s="22">
        <f>Inputs!B6 - ((D9-Inputs!B8)/10)*Inputs!B12</f>
        <v>0.10723625000000001</v>
      </c>
      <c r="F9" s="20">
        <f t="shared" si="0"/>
        <v>487.14425760000006</v>
      </c>
      <c r="G9" s="20">
        <f>C9*Inputs!B15</f>
        <v>181.70880000000002</v>
      </c>
      <c r="H9" s="20">
        <f>C9*Inputs!B16</f>
        <v>45.427200000000006</v>
      </c>
      <c r="I9" s="23">
        <f>F9*(1-Inputs!B17) - G9 - H9</f>
        <v>138.22219320000005</v>
      </c>
    </row>
    <row r="10" spans="1:12" x14ac:dyDescent="0.3">
      <c r="A10" s="19">
        <v>3</v>
      </c>
      <c r="B10" s="19" t="s">
        <v>44</v>
      </c>
      <c r="C10" s="20">
        <f>Inputs!B4*(1+Inputs!B14)^A10</f>
        <v>4724.4288000000006</v>
      </c>
      <c r="D10" s="21">
        <f>Inputs!B8*(1+Inputs!B10)^A10</f>
        <v>56.666554999999995</v>
      </c>
      <c r="E10" s="22">
        <f>Inputs!B6 - ((D10-Inputs!B8)/10)*Inputs!B12</f>
        <v>0.10583361250000001</v>
      </c>
      <c r="F10" s="20">
        <f t="shared" si="0"/>
        <v>500.0033669030401</v>
      </c>
      <c r="G10" s="20">
        <f>C10*Inputs!B15</f>
        <v>188.97715200000002</v>
      </c>
      <c r="H10" s="20">
        <f>C10*Inputs!B16</f>
        <v>47.244288000000005</v>
      </c>
      <c r="I10" s="23">
        <f>F10*(1-Inputs!B17) - G10 - H10</f>
        <v>138.78108517728003</v>
      </c>
    </row>
    <row r="11" spans="1:12" x14ac:dyDescent="0.3">
      <c r="A11" s="19">
        <v>4</v>
      </c>
      <c r="B11" s="19" t="s">
        <v>44</v>
      </c>
      <c r="C11" s="20">
        <f>Inputs!B4*(1+Inputs!B14)^A11</f>
        <v>4913.405952000001</v>
      </c>
      <c r="D11" s="21">
        <f>Inputs!B8*(1+Inputs!B10)^A11</f>
        <v>57.233220549999999</v>
      </c>
      <c r="E11" s="22">
        <f>Inputs!B6 - ((D11-Inputs!B8)/10)*Inputs!B12</f>
        <v>0.10441694862500001</v>
      </c>
      <c r="F11" s="20">
        <f t="shared" si="0"/>
        <v>513.0428568637534</v>
      </c>
      <c r="G11" s="20">
        <f>C11*Inputs!B15</f>
        <v>196.53623808000003</v>
      </c>
      <c r="H11" s="20">
        <f>C11*Inputs!B16</f>
        <v>49.134059520000008</v>
      </c>
      <c r="I11" s="23">
        <f>F11*(1-Inputs!B17) - G11 - H11</f>
        <v>139.111845047815</v>
      </c>
    </row>
    <row r="12" spans="1:12" x14ac:dyDescent="0.3">
      <c r="A12" s="19">
        <v>5</v>
      </c>
      <c r="B12" s="19" t="s">
        <v>44</v>
      </c>
      <c r="C12" s="20">
        <f>Inputs!B4*(1+Inputs!B14)^A12</f>
        <v>5109.9421900800016</v>
      </c>
      <c r="D12" s="21">
        <f>Inputs!B8*(1+Inputs!B10)^A12</f>
        <v>57.805552755499995</v>
      </c>
      <c r="E12" s="22">
        <f>Inputs!B6 - ((D12-Inputs!B8)/10)*Inputs!B12</f>
        <v>0.10298611811125001</v>
      </c>
      <c r="F12" s="20">
        <f t="shared" si="0"/>
        <v>526.25310992923858</v>
      </c>
      <c r="G12" s="20">
        <f>C12*Inputs!B15</f>
        <v>204.39768760320007</v>
      </c>
      <c r="H12" s="20">
        <f>C12*Inputs!B16</f>
        <v>51.099421900800017</v>
      </c>
      <c r="I12" s="23">
        <f>F12*(1-Inputs!B17) - G12 - H12</f>
        <v>139.19272294292881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I3" sqref="I3"/>
    </sheetView>
  </sheetViews>
  <sheetFormatPr baseColWidth="10" defaultColWidth="8.88671875" defaultRowHeight="14.4" x14ac:dyDescent="0.3"/>
  <cols>
    <col min="1" max="1" width="12" customWidth="1"/>
    <col min="2" max="9" width="16" customWidth="1"/>
  </cols>
  <sheetData>
    <row r="1" spans="1:12" ht="18.75" customHeight="1" x14ac:dyDescent="0.3">
      <c r="A1" s="60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31.2" x14ac:dyDescent="0.3">
      <c r="A2" s="9" t="s">
        <v>35</v>
      </c>
      <c r="B2" s="9" t="s">
        <v>29</v>
      </c>
      <c r="C2" s="9" t="s">
        <v>27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 t="s">
        <v>51</v>
      </c>
    </row>
    <row r="3" spans="1:12" x14ac:dyDescent="0.3">
      <c r="A3" s="14" t="s">
        <v>43</v>
      </c>
      <c r="B3" s="24">
        <f>Inputs!B18</f>
        <v>0.09</v>
      </c>
      <c r="C3" s="24">
        <f>Inputs!B17</f>
        <v>0.25</v>
      </c>
      <c r="D3" s="25">
        <f>SUM(Projection_5Y!I3/(1+$B$3)^1+Projection_5Y!I4/(1+$B$3)^2+Projection_5Y!I5/(1+$B$3)^3+Projection_5Y!I6/(1+$B$3)^4+Projection_5Y!I7/(1+$B$3)^5)</f>
        <v>141.21181291002461</v>
      </c>
      <c r="E3" s="26">
        <f>Inputs!B19</f>
        <v>7</v>
      </c>
      <c r="F3" s="25">
        <f>Projection_5Y!F7</f>
        <v>322.60244681633674</v>
      </c>
      <c r="G3" s="25">
        <f>E3*F3</f>
        <v>2258.217127714357</v>
      </c>
      <c r="H3" s="25">
        <f>G3/(1+$B$3)^5</f>
        <v>1467.6861883780596</v>
      </c>
      <c r="I3" s="25">
        <f>D3+H3</f>
        <v>1608.8980012880843</v>
      </c>
    </row>
    <row r="4" spans="1:12" x14ac:dyDescent="0.3">
      <c r="A4" s="19" t="s">
        <v>44</v>
      </c>
      <c r="B4" s="27">
        <f>Inputs!B18</f>
        <v>0.09</v>
      </c>
      <c r="C4" s="27">
        <f>Inputs!B17</f>
        <v>0.25</v>
      </c>
      <c r="D4" s="28">
        <f>SUM(Projection_5Y!I8/(1+$B$4)^1+Projection_5Y!I9/(1+$B$4)^2+Projection_5Y!I10/(1+$B$4)^3+Projection_5Y!I11/(1+$B$4)^4+Projection_5Y!I12/(1+$B$4)^5)</f>
        <v>538.62533683806691</v>
      </c>
      <c r="E4" s="29">
        <f>Inputs!B19</f>
        <v>7</v>
      </c>
      <c r="F4" s="28">
        <f>Projection_5Y!F12</f>
        <v>526.25310992923858</v>
      </c>
      <c r="G4" s="28">
        <f>E4*F4</f>
        <v>3683.7717695046699</v>
      </c>
      <c r="H4" s="28">
        <f>G4/(1+$B$4)^5</f>
        <v>2394.1988929608788</v>
      </c>
      <c r="I4" s="28">
        <f>D4+H4</f>
        <v>2932.8242297989455</v>
      </c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</row>
    <row r="7" spans="1:12" x14ac:dyDescent="0.3">
      <c r="B7" s="2"/>
      <c r="C7" s="2"/>
      <c r="I7" s="8"/>
    </row>
    <row r="8" spans="1:12" x14ac:dyDescent="0.3">
      <c r="B8" s="2"/>
      <c r="C8" s="2"/>
      <c r="I8" s="8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selection activeCell="M10" sqref="M10"/>
    </sheetView>
  </sheetViews>
  <sheetFormatPr baseColWidth="10" defaultColWidth="8.88671875" defaultRowHeight="14.4" x14ac:dyDescent="0.3"/>
  <cols>
    <col min="1" max="1" width="10" customWidth="1"/>
    <col min="2" max="9" width="14" customWidth="1"/>
    <col min="10" max="10" width="14" bestFit="1" customWidth="1"/>
    <col min="11" max="11" width="14" customWidth="1"/>
  </cols>
  <sheetData>
    <row r="1" spans="1:12" ht="18.75" customHeight="1" x14ac:dyDescent="0.3">
      <c r="A1" s="60" t="s">
        <v>52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46.8" x14ac:dyDescent="0.3">
      <c r="A2" s="9" t="s">
        <v>34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 t="s">
        <v>59</v>
      </c>
      <c r="I2" s="9" t="s">
        <v>60</v>
      </c>
      <c r="J2" s="9" t="s">
        <v>61</v>
      </c>
      <c r="K2" s="9" t="s">
        <v>62</v>
      </c>
    </row>
    <row r="3" spans="1:12" x14ac:dyDescent="0.3">
      <c r="A3" s="30">
        <v>1</v>
      </c>
      <c r="B3" s="31">
        <f>Projection_5Y!D3</f>
        <v>66.625</v>
      </c>
      <c r="C3" s="31">
        <f>Projection_5Y!D8</f>
        <v>55.55</v>
      </c>
      <c r="D3" s="31">
        <f>B3-C3</f>
        <v>11.075000000000003</v>
      </c>
      <c r="E3" s="31">
        <f>Inputs!B5</f>
        <v>0.09</v>
      </c>
      <c r="F3" s="31">
        <f>Inputs!B6</f>
        <v>0.11</v>
      </c>
      <c r="G3" s="31">
        <f>Projection_5Y!E3</f>
        <v>8.59375E-2</v>
      </c>
      <c r="H3" s="31">
        <f>Projection_5Y!E8</f>
        <v>0.10862500000000001</v>
      </c>
      <c r="I3" s="31">
        <f>G3-H3</f>
        <v>-2.2687500000000013E-2</v>
      </c>
      <c r="J3" s="31">
        <f>Projection_5Y!C3</f>
        <v>4048.2000000000003</v>
      </c>
      <c r="K3" s="31">
        <f>MAX(0,H3-G3)*J3</f>
        <v>91.843537500000053</v>
      </c>
    </row>
    <row r="4" spans="1:12" x14ac:dyDescent="0.3">
      <c r="A4" s="32">
        <v>2</v>
      </c>
      <c r="B4" s="33">
        <f>Projection_5Y!D4</f>
        <v>68.290624999999991</v>
      </c>
      <c r="C4" s="33">
        <f>Projection_5Y!D9</f>
        <v>56.105499999999999</v>
      </c>
      <c r="D4" s="33">
        <f>B4-C4</f>
        <v>12.185124999999992</v>
      </c>
      <c r="E4" s="33">
        <f>Inputs!B5</f>
        <v>0.09</v>
      </c>
      <c r="F4" s="33">
        <f>Inputs!B6</f>
        <v>0.11</v>
      </c>
      <c r="G4" s="33">
        <f>Projection_5Y!E4</f>
        <v>8.1773437500000018E-2</v>
      </c>
      <c r="H4" s="33">
        <f>Projection_5Y!E9</f>
        <v>0.10723625000000001</v>
      </c>
      <c r="I4" s="33">
        <f>G4-H4</f>
        <v>-2.5462812499999987E-2</v>
      </c>
      <c r="J4" s="33">
        <f>Projection_5Y!C4</f>
        <v>4202.0316000000003</v>
      </c>
      <c r="K4" s="33">
        <f>MAX(0,H4-G4)*J4</f>
        <v>106.99554274987496</v>
      </c>
    </row>
    <row r="5" spans="1:12" x14ac:dyDescent="0.3">
      <c r="A5" s="30">
        <v>3</v>
      </c>
      <c r="B5" s="31">
        <f>Projection_5Y!D5</f>
        <v>69.997890624999997</v>
      </c>
      <c r="C5" s="31">
        <f>Projection_5Y!D10</f>
        <v>56.666554999999995</v>
      </c>
      <c r="D5" s="31">
        <f>B5-C5</f>
        <v>13.331335625000001</v>
      </c>
      <c r="E5" s="31">
        <f>Inputs!B5</f>
        <v>0.09</v>
      </c>
      <c r="F5" s="31">
        <f>Inputs!B6</f>
        <v>0.11</v>
      </c>
      <c r="G5" s="31">
        <f>Projection_5Y!E5</f>
        <v>7.7505273437500008E-2</v>
      </c>
      <c r="H5" s="31">
        <f>Projection_5Y!E10</f>
        <v>0.10583361250000001</v>
      </c>
      <c r="I5" s="31">
        <f>G5-H5</f>
        <v>-2.8328339062499999E-2</v>
      </c>
      <c r="J5" s="31">
        <f>Projection_5Y!C5</f>
        <v>4361.7088008000001</v>
      </c>
      <c r="K5" s="31">
        <f>MAX(0,H5-G5)*J5</f>
        <v>123.55996580095267</v>
      </c>
    </row>
    <row r="6" spans="1:12" x14ac:dyDescent="0.3">
      <c r="A6" s="32">
        <v>4</v>
      </c>
      <c r="B6" s="33">
        <f>Projection_5Y!D6</f>
        <v>71.747837890624979</v>
      </c>
      <c r="C6" s="33">
        <f>Projection_5Y!D11</f>
        <v>57.233220549999999</v>
      </c>
      <c r="D6" s="33">
        <f>B6-C6</f>
        <v>14.51461734062498</v>
      </c>
      <c r="E6" s="33">
        <f>Inputs!B5</f>
        <v>0.09</v>
      </c>
      <c r="F6" s="33">
        <f>Inputs!B6</f>
        <v>0.11</v>
      </c>
      <c r="G6" s="33">
        <f>Projection_5Y!E6</f>
        <v>7.3130405273437546E-2</v>
      </c>
      <c r="H6" s="33">
        <f>Projection_5Y!E11</f>
        <v>0.10441694862500001</v>
      </c>
      <c r="I6" s="33">
        <f>G6-H6</f>
        <v>-3.128654335156246E-2</v>
      </c>
      <c r="J6" s="33">
        <f>Projection_5Y!C6</f>
        <v>4527.4537352304005</v>
      </c>
      <c r="K6" s="33">
        <f>MAX(0,H6-G6)*J6</f>
        <v>141.64837755947931</v>
      </c>
    </row>
    <row r="7" spans="1:12" x14ac:dyDescent="0.3">
      <c r="A7" s="30">
        <v>5</v>
      </c>
      <c r="B7" s="31">
        <f>Projection_5Y!D7</f>
        <v>73.541533837890597</v>
      </c>
      <c r="C7" s="31">
        <f>Projection_5Y!D12</f>
        <v>57.805552755499995</v>
      </c>
      <c r="D7" s="31">
        <f>B7-C7</f>
        <v>15.735981082390602</v>
      </c>
      <c r="E7" s="31">
        <f>Inputs!B5</f>
        <v>0.09</v>
      </c>
      <c r="F7" s="31">
        <f>Inputs!B6</f>
        <v>0.11</v>
      </c>
      <c r="G7" s="31">
        <f>Projection_5Y!E7</f>
        <v>6.8646165405273504E-2</v>
      </c>
      <c r="H7" s="31">
        <f>Projection_5Y!E12</f>
        <v>0.10298611811125001</v>
      </c>
      <c r="I7" s="31">
        <f>G7-H7</f>
        <v>-3.4339952705976506E-2</v>
      </c>
      <c r="J7" s="31">
        <f>Projection_5Y!C7</f>
        <v>4699.4969771691558</v>
      </c>
      <c r="K7" s="31">
        <f>MAX(0,H7-G7)*J7</f>
        <v>161.38050393786835</v>
      </c>
    </row>
    <row r="8" spans="1:12" x14ac:dyDescent="0.3">
      <c r="A8" s="34"/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2" x14ac:dyDescent="0.3">
      <c r="J9" s="1" t="s">
        <v>63</v>
      </c>
      <c r="K9" s="1">
        <f>SUM(K3:K7)</f>
        <v>625.42792754817538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selection activeCell="A26" sqref="A26"/>
    </sheetView>
  </sheetViews>
  <sheetFormatPr baseColWidth="10" defaultColWidth="8.88671875" defaultRowHeight="14.4" x14ac:dyDescent="0.3"/>
  <cols>
    <col min="1" max="1" width="35" customWidth="1"/>
    <col min="2" max="2" width="12" customWidth="1"/>
    <col min="3" max="3" width="45" customWidth="1"/>
    <col min="4" max="4" width="10" customWidth="1"/>
    <col min="5" max="5" width="18" bestFit="1" customWidth="1"/>
    <col min="6" max="6" width="12" customWidth="1"/>
  </cols>
  <sheetData>
    <row r="1" spans="1:12" ht="18.75" customHeight="1" x14ac:dyDescent="0.3">
      <c r="A1" s="60" t="s">
        <v>64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31.2" x14ac:dyDescent="0.3">
      <c r="A2" s="9" t="s">
        <v>1</v>
      </c>
      <c r="B2" s="9" t="s">
        <v>2</v>
      </c>
      <c r="C2" s="9" t="s">
        <v>3</v>
      </c>
      <c r="D2" s="9"/>
      <c r="E2" s="9" t="s">
        <v>65</v>
      </c>
      <c r="F2" s="9"/>
    </row>
    <row r="3" spans="1:12" x14ac:dyDescent="0.3">
      <c r="A3" s="10" t="s">
        <v>66</v>
      </c>
      <c r="B3" s="35">
        <v>5</v>
      </c>
      <c r="C3" s="10" t="s">
        <v>67</v>
      </c>
      <c r="D3" s="36"/>
      <c r="E3" s="31" t="s">
        <v>68</v>
      </c>
      <c r="F3" s="37">
        <f>INDEX(WEDGE!G3:G7, B3)</f>
        <v>6.8646165405273504E-2</v>
      </c>
    </row>
    <row r="4" spans="1:12" x14ac:dyDescent="0.3">
      <c r="A4" s="10" t="s">
        <v>69</v>
      </c>
      <c r="B4" s="38">
        <v>0.3</v>
      </c>
      <c r="C4" s="10" t="s">
        <v>70</v>
      </c>
      <c r="D4" s="36"/>
      <c r="E4" s="31" t="s">
        <v>71</v>
      </c>
      <c r="F4" s="37">
        <f>INDEX(WEDGE!H3:H7, B3)</f>
        <v>0.10298611811125001</v>
      </c>
    </row>
    <row r="5" spans="1:12" x14ac:dyDescent="0.3">
      <c r="A5" s="10" t="s">
        <v>72</v>
      </c>
      <c r="B5" s="38">
        <v>-0.3</v>
      </c>
      <c r="C5" s="10" t="s">
        <v>73</v>
      </c>
      <c r="D5" s="36"/>
      <c r="E5" s="31" t="s">
        <v>74</v>
      </c>
      <c r="F5" s="37">
        <f>MAX(0, F4 - F3)</f>
        <v>3.4339952705976506E-2</v>
      </c>
    </row>
    <row r="6" spans="1:12" x14ac:dyDescent="0.3">
      <c r="A6" s="10" t="s">
        <v>75</v>
      </c>
      <c r="B6" s="35">
        <v>4</v>
      </c>
      <c r="C6" s="10" t="s">
        <v>76</v>
      </c>
      <c r="D6" s="36"/>
      <c r="E6" s="31" t="s">
        <v>77</v>
      </c>
      <c r="F6" s="37">
        <f>B4*F5</f>
        <v>1.0301985811792952E-2</v>
      </c>
    </row>
    <row r="7" spans="1:12" x14ac:dyDescent="0.3">
      <c r="A7" s="10" t="s">
        <v>78</v>
      </c>
      <c r="B7" s="35">
        <v>1.8</v>
      </c>
      <c r="C7" s="10" t="s">
        <v>79</v>
      </c>
      <c r="D7" s="36"/>
      <c r="E7" s="31"/>
      <c r="F7" s="31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workbookViewId="0">
      <selection activeCell="C3" sqref="C3"/>
    </sheetView>
  </sheetViews>
  <sheetFormatPr baseColWidth="10" defaultColWidth="8.88671875" defaultRowHeight="14.4" x14ac:dyDescent="0.3"/>
  <cols>
    <col min="1" max="2" width="16" customWidth="1"/>
    <col min="3" max="3" width="16" bestFit="1" customWidth="1"/>
    <col min="4" max="5" width="16" customWidth="1"/>
    <col min="6" max="6" width="14" customWidth="1"/>
    <col min="7" max="8" width="14" bestFit="1" customWidth="1"/>
  </cols>
  <sheetData>
    <row r="1" spans="1:12" ht="18.75" customHeight="1" x14ac:dyDescent="0.3">
      <c r="A1" s="62" t="s">
        <v>80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62.4" x14ac:dyDescent="0.3">
      <c r="A2" s="9" t="s">
        <v>81</v>
      </c>
      <c r="B2" s="9" t="s">
        <v>82</v>
      </c>
      <c r="C2" s="9" t="s">
        <v>83</v>
      </c>
      <c r="D2" s="9" t="s">
        <v>84</v>
      </c>
      <c r="E2" s="9" t="s">
        <v>85</v>
      </c>
      <c r="F2" s="9"/>
      <c r="G2" s="9" t="s">
        <v>86</v>
      </c>
      <c r="H2" s="9" t="s">
        <v>87</v>
      </c>
    </row>
    <row r="3" spans="1:12" x14ac:dyDescent="0.3">
      <c r="A3" s="10" t="s">
        <v>88</v>
      </c>
      <c r="B3" s="10" t="s">
        <v>89</v>
      </c>
      <c r="C3" s="39">
        <v>8200</v>
      </c>
      <c r="D3" s="39">
        <v>880</v>
      </c>
      <c r="E3" s="39">
        <v>1250</v>
      </c>
      <c r="F3" s="36"/>
      <c r="G3" s="36">
        <f>SUM(D3:D9997)</f>
        <v>5786.6</v>
      </c>
      <c r="H3" s="36">
        <f>SUM(E3:E9997)</f>
        <v>7306</v>
      </c>
    </row>
    <row r="4" spans="1:12" x14ac:dyDescent="0.3">
      <c r="A4" s="40" t="s">
        <v>90</v>
      </c>
      <c r="B4" s="40" t="s">
        <v>89</v>
      </c>
      <c r="C4" s="41">
        <v>6300</v>
      </c>
      <c r="D4" s="41">
        <v>760</v>
      </c>
      <c r="E4" s="41">
        <v>900</v>
      </c>
      <c r="F4" s="42"/>
      <c r="G4" s="42"/>
      <c r="H4" s="42"/>
    </row>
    <row r="5" spans="1:12" x14ac:dyDescent="0.3">
      <c r="A5" s="10" t="s">
        <v>91</v>
      </c>
      <c r="B5" s="10" t="s">
        <v>89</v>
      </c>
      <c r="C5" s="39">
        <v>3400</v>
      </c>
      <c r="D5" s="39">
        <v>290</v>
      </c>
      <c r="E5" s="39">
        <v>510</v>
      </c>
      <c r="F5" s="36"/>
      <c r="G5" s="36"/>
      <c r="H5" s="36"/>
    </row>
    <row r="6" spans="1:12" x14ac:dyDescent="0.3">
      <c r="A6" s="40" t="s">
        <v>92</v>
      </c>
      <c r="B6" s="40" t="s">
        <v>89</v>
      </c>
      <c r="C6" s="41">
        <v>2600</v>
      </c>
      <c r="D6" s="41">
        <v>220</v>
      </c>
      <c r="E6" s="41">
        <v>430</v>
      </c>
      <c r="F6" s="42"/>
      <c r="G6" s="42"/>
      <c r="H6" s="42"/>
    </row>
    <row r="7" spans="1:12" x14ac:dyDescent="0.3">
      <c r="A7" s="10" t="s">
        <v>93</v>
      </c>
      <c r="B7" s="10" t="s">
        <v>89</v>
      </c>
      <c r="C7" s="39">
        <v>2300</v>
      </c>
      <c r="D7" s="39">
        <v>200</v>
      </c>
      <c r="E7" s="39">
        <v>260</v>
      </c>
      <c r="F7" s="36"/>
      <c r="G7" s="36"/>
      <c r="H7" s="36"/>
    </row>
    <row r="8" spans="1:12" x14ac:dyDescent="0.3">
      <c r="A8" s="40" t="s">
        <v>94</v>
      </c>
      <c r="B8" s="40" t="s">
        <v>89</v>
      </c>
      <c r="C8" s="41">
        <v>1600</v>
      </c>
      <c r="D8" s="41">
        <v>130</v>
      </c>
      <c r="E8" s="41">
        <v>170</v>
      </c>
      <c r="F8" s="42"/>
      <c r="G8" s="42"/>
      <c r="H8" s="42"/>
    </row>
    <row r="9" spans="1:12" x14ac:dyDescent="0.3">
      <c r="A9" s="10" t="s">
        <v>44</v>
      </c>
      <c r="B9" s="10" t="s">
        <v>89</v>
      </c>
      <c r="C9" s="39">
        <v>5200</v>
      </c>
      <c r="D9" s="39">
        <v>370</v>
      </c>
      <c r="E9" s="39">
        <v>2100</v>
      </c>
      <c r="F9" s="36"/>
      <c r="G9" s="36"/>
      <c r="H9" s="36"/>
    </row>
    <row r="10" spans="1:12" x14ac:dyDescent="0.3">
      <c r="A10" s="40" t="s">
        <v>43</v>
      </c>
      <c r="B10" s="40" t="s">
        <v>89</v>
      </c>
      <c r="C10" s="41">
        <v>3900</v>
      </c>
      <c r="D10" s="41">
        <v>2100</v>
      </c>
      <c r="E10" s="41">
        <v>420</v>
      </c>
      <c r="F10" s="42"/>
      <c r="G10" s="42"/>
      <c r="H10" s="42"/>
    </row>
    <row r="11" spans="1:12" x14ac:dyDescent="0.3">
      <c r="A11" s="10" t="s">
        <v>88</v>
      </c>
      <c r="B11" s="10" t="s">
        <v>95</v>
      </c>
      <c r="C11" s="39">
        <v>1600</v>
      </c>
      <c r="D11" s="39">
        <v>143</v>
      </c>
      <c r="E11" s="39">
        <v>230</v>
      </c>
      <c r="F11" s="36"/>
      <c r="G11" s="36"/>
      <c r="H11" s="36"/>
    </row>
    <row r="12" spans="1:12" x14ac:dyDescent="0.3">
      <c r="A12" s="40" t="s">
        <v>90</v>
      </c>
      <c r="B12" s="40" t="s">
        <v>95</v>
      </c>
      <c r="C12" s="41">
        <v>1400</v>
      </c>
      <c r="D12" s="41">
        <v>132</v>
      </c>
      <c r="E12" s="41">
        <v>190</v>
      </c>
      <c r="F12" s="42"/>
      <c r="G12" s="42"/>
      <c r="H12" s="42"/>
    </row>
    <row r="13" spans="1:12" x14ac:dyDescent="0.3">
      <c r="A13" s="10" t="s">
        <v>91</v>
      </c>
      <c r="B13" s="10" t="s">
        <v>95</v>
      </c>
      <c r="C13" s="39">
        <v>750</v>
      </c>
      <c r="D13" s="39">
        <v>75</v>
      </c>
      <c r="E13" s="39">
        <v>125</v>
      </c>
      <c r="F13" s="36"/>
      <c r="G13" s="36"/>
      <c r="H13" s="36"/>
    </row>
    <row r="14" spans="1:12" x14ac:dyDescent="0.3">
      <c r="A14" s="40" t="s">
        <v>92</v>
      </c>
      <c r="B14" s="40" t="s">
        <v>95</v>
      </c>
      <c r="C14" s="41">
        <v>550</v>
      </c>
      <c r="D14" s="41">
        <v>51</v>
      </c>
      <c r="E14" s="41">
        <v>105</v>
      </c>
      <c r="F14" s="42"/>
      <c r="G14" s="42"/>
      <c r="H14" s="42"/>
    </row>
    <row r="15" spans="1:12" x14ac:dyDescent="0.3">
      <c r="A15" s="10" t="s">
        <v>93</v>
      </c>
      <c r="B15" s="10" t="s">
        <v>95</v>
      </c>
      <c r="C15" s="39">
        <v>450</v>
      </c>
      <c r="D15" s="39">
        <v>44</v>
      </c>
      <c r="E15" s="39">
        <v>58</v>
      </c>
      <c r="F15" s="36"/>
      <c r="G15" s="36"/>
      <c r="H15" s="36"/>
    </row>
    <row r="16" spans="1:12" x14ac:dyDescent="0.3">
      <c r="A16" s="40" t="s">
        <v>94</v>
      </c>
      <c r="B16" s="40" t="s">
        <v>95</v>
      </c>
      <c r="C16" s="41">
        <v>350</v>
      </c>
      <c r="D16" s="41">
        <v>30.6</v>
      </c>
      <c r="E16" s="41">
        <v>38</v>
      </c>
      <c r="F16" s="42"/>
      <c r="G16" s="42"/>
      <c r="H16" s="42"/>
    </row>
    <row r="17" spans="1:8" x14ac:dyDescent="0.3">
      <c r="A17" s="10" t="s">
        <v>44</v>
      </c>
      <c r="B17" s="10" t="s">
        <v>95</v>
      </c>
      <c r="C17" s="39">
        <v>1200</v>
      </c>
      <c r="D17" s="39">
        <v>61</v>
      </c>
      <c r="E17" s="39">
        <v>400</v>
      </c>
      <c r="F17" s="36"/>
      <c r="G17" s="36"/>
      <c r="H17" s="36"/>
    </row>
    <row r="18" spans="1:8" x14ac:dyDescent="0.3">
      <c r="A18" s="40" t="s">
        <v>43</v>
      </c>
      <c r="B18" s="40" t="s">
        <v>95</v>
      </c>
      <c r="C18" s="41">
        <v>1000</v>
      </c>
      <c r="D18" s="41">
        <v>300</v>
      </c>
      <c r="E18" s="41">
        <v>120</v>
      </c>
      <c r="F18" s="42"/>
      <c r="G18" s="42"/>
      <c r="H18" s="42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8"/>
  <sheetViews>
    <sheetView workbookViewId="0">
      <selection activeCell="H29" sqref="H29"/>
    </sheetView>
  </sheetViews>
  <sheetFormatPr baseColWidth="10" defaultColWidth="8.88671875" defaultRowHeight="14.4" x14ac:dyDescent="0.3"/>
  <cols>
    <col min="1" max="13" width="14" customWidth="1"/>
    <col min="14" max="14" width="14" bestFit="1" customWidth="1"/>
    <col min="15" max="15" width="14" customWidth="1"/>
  </cols>
  <sheetData>
    <row r="1" spans="1:15" ht="18.75" customHeight="1" x14ac:dyDescent="0.3">
      <c r="A1" s="62" t="s">
        <v>96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5" ht="31.2" x14ac:dyDescent="0.3">
      <c r="A2" s="9" t="s">
        <v>81</v>
      </c>
      <c r="B2" s="9" t="s">
        <v>82</v>
      </c>
      <c r="C2" s="9" t="s">
        <v>97</v>
      </c>
      <c r="D2" s="9" t="s">
        <v>84</v>
      </c>
      <c r="E2" s="9" t="s">
        <v>85</v>
      </c>
      <c r="F2" s="9" t="s">
        <v>98</v>
      </c>
      <c r="G2" s="9" t="s">
        <v>99</v>
      </c>
      <c r="H2" s="9" t="s">
        <v>100</v>
      </c>
      <c r="I2" s="9" t="s">
        <v>101</v>
      </c>
      <c r="J2" s="9" t="s">
        <v>102</v>
      </c>
      <c r="K2" s="9" t="s">
        <v>103</v>
      </c>
      <c r="L2" s="9" t="s">
        <v>104</v>
      </c>
      <c r="M2" s="9"/>
      <c r="N2" s="9" t="s">
        <v>86</v>
      </c>
      <c r="O2" s="9">
        <f>FLOWS!$G$3</f>
        <v>5786.6</v>
      </c>
    </row>
    <row r="3" spans="1:15" x14ac:dyDescent="0.3">
      <c r="A3" s="10" t="s">
        <v>88</v>
      </c>
      <c r="B3" s="10" t="s">
        <v>89</v>
      </c>
      <c r="C3" s="43">
        <f>FLOWS!C3</f>
        <v>8200</v>
      </c>
      <c r="D3" s="43">
        <f>FLOWS!D3</f>
        <v>880</v>
      </c>
      <c r="E3" s="43">
        <f>FLOWS!E3</f>
        <v>1250</v>
      </c>
      <c r="F3" s="44">
        <f t="shared" ref="F3:F18" si="0">IFERROR(D3/C3,0)</f>
        <v>0.10731707317073171</v>
      </c>
      <c r="G3" s="44">
        <f t="shared" ref="G3:G18" si="1">IFERROR(E3/C3,0)</f>
        <v>0.1524390243902439</v>
      </c>
      <c r="H3" s="44">
        <f t="shared" ref="H3:H18" si="2">MIN(F3,G3)</f>
        <v>0.10731707317073171</v>
      </c>
      <c r="I3" s="44">
        <f>PARAMS!F6</f>
        <v>1.0301985811792952E-2</v>
      </c>
      <c r="J3" s="45">
        <f>H3 * (-PARAMS!B4) * I3</f>
        <v>-3.3167368955040722E-4</v>
      </c>
      <c r="K3" s="36">
        <f t="shared" ref="K3:K18" si="3">D3 * J3</f>
        <v>-0.29187284680435838</v>
      </c>
      <c r="L3" s="46">
        <f>IFERROR(K3/FLOWS!$G$3,0)</f>
        <v>-5.0439437114083979E-5</v>
      </c>
      <c r="M3" s="36"/>
      <c r="N3" s="36" t="s">
        <v>105</v>
      </c>
      <c r="O3" s="36">
        <f>SUM(K3:K9995)</f>
        <v>-1.8340850431516516</v>
      </c>
    </row>
    <row r="4" spans="1:15" x14ac:dyDescent="0.3">
      <c r="A4" s="40" t="s">
        <v>90</v>
      </c>
      <c r="B4" s="40" t="s">
        <v>89</v>
      </c>
      <c r="C4" s="47">
        <f>FLOWS!C4</f>
        <v>6300</v>
      </c>
      <c r="D4" s="47">
        <f>FLOWS!D4</f>
        <v>760</v>
      </c>
      <c r="E4" s="47">
        <f>FLOWS!E4</f>
        <v>900</v>
      </c>
      <c r="F4" s="48">
        <f t="shared" si="0"/>
        <v>0.12063492063492064</v>
      </c>
      <c r="G4" s="48">
        <f t="shared" si="1"/>
        <v>0.14285714285714285</v>
      </c>
      <c r="H4" s="48">
        <f t="shared" si="2"/>
        <v>0.12063492063492064</v>
      </c>
      <c r="I4" s="48">
        <f>PARAMS!F6</f>
        <v>1.0301985811792952E-2</v>
      </c>
      <c r="J4" s="49">
        <f>H4 * (-PARAMS!B4) * I4</f>
        <v>-3.7283377223631633E-4</v>
      </c>
      <c r="K4" s="42">
        <f t="shared" si="3"/>
        <v>-0.2833536668996004</v>
      </c>
      <c r="L4" s="50">
        <f>IFERROR(K4/FLOWS!$G$3,0)</f>
        <v>-4.8967211644074303E-5</v>
      </c>
      <c r="M4" s="42"/>
      <c r="N4" s="42" t="s">
        <v>106</v>
      </c>
      <c r="O4" s="48">
        <f>AVERAGE(H3:H9995)</f>
        <v>9.2333865075378108E-2</v>
      </c>
    </row>
    <row r="5" spans="1:15" x14ac:dyDescent="0.3">
      <c r="A5" s="10" t="s">
        <v>91</v>
      </c>
      <c r="B5" s="10" t="s">
        <v>89</v>
      </c>
      <c r="C5" s="43">
        <f>FLOWS!C5</f>
        <v>3400</v>
      </c>
      <c r="D5" s="43">
        <f>FLOWS!D5</f>
        <v>290</v>
      </c>
      <c r="E5" s="43">
        <f>FLOWS!E5</f>
        <v>510</v>
      </c>
      <c r="F5" s="44">
        <f t="shared" si="0"/>
        <v>8.5294117647058826E-2</v>
      </c>
      <c r="G5" s="44">
        <f t="shared" si="1"/>
        <v>0.15</v>
      </c>
      <c r="H5" s="44">
        <f t="shared" si="2"/>
        <v>8.5294117647058826E-2</v>
      </c>
      <c r="I5" s="44">
        <f>PARAMS!F6</f>
        <v>1.0301985811792952E-2</v>
      </c>
      <c r="J5" s="45">
        <f>H5 * (-PARAMS!B4) * I5</f>
        <v>-2.6360963694881963E-4</v>
      </c>
      <c r="K5" s="36">
        <f t="shared" si="3"/>
        <v>-7.6446794715157695E-2</v>
      </c>
      <c r="L5" s="46">
        <f>IFERROR(K5/FLOWS!$G$3,0)</f>
        <v>-1.321100382178787E-5</v>
      </c>
      <c r="M5" s="36"/>
      <c r="N5" s="36" t="s">
        <v>107</v>
      </c>
      <c r="O5" s="45">
        <f>IFERROR(O3/O2,0)</f>
        <v>-3.1695383180998366E-4</v>
      </c>
    </row>
    <row r="6" spans="1:15" x14ac:dyDescent="0.3">
      <c r="A6" s="40" t="s">
        <v>92</v>
      </c>
      <c r="B6" s="40" t="s">
        <v>89</v>
      </c>
      <c r="C6" s="47">
        <f>FLOWS!C6</f>
        <v>2600</v>
      </c>
      <c r="D6" s="47">
        <f>FLOWS!D6</f>
        <v>220</v>
      </c>
      <c r="E6" s="47">
        <f>FLOWS!E6</f>
        <v>430</v>
      </c>
      <c r="F6" s="48">
        <f t="shared" si="0"/>
        <v>8.461538461538462E-2</v>
      </c>
      <c r="G6" s="48">
        <f t="shared" si="1"/>
        <v>0.16538461538461538</v>
      </c>
      <c r="H6" s="48">
        <f t="shared" si="2"/>
        <v>8.461538461538462E-2</v>
      </c>
      <c r="I6" s="48">
        <f>PARAMS!F6</f>
        <v>1.0301985811792952E-2</v>
      </c>
      <c r="J6" s="49">
        <f>H6 * (-PARAMS!B4) * I6</f>
        <v>-2.6151194753012876E-4</v>
      </c>
      <c r="K6" s="42">
        <f t="shared" si="3"/>
        <v>-5.7532628456628328E-2</v>
      </c>
      <c r="L6" s="50">
        <f>IFERROR(K6/FLOWS!$G$3,0)</f>
        <v>-9.9423890465261677E-6</v>
      </c>
      <c r="M6" s="42"/>
      <c r="N6" s="42"/>
      <c r="O6" s="42"/>
    </row>
    <row r="7" spans="1:15" x14ac:dyDescent="0.3">
      <c r="A7" s="10" t="s">
        <v>93</v>
      </c>
      <c r="B7" s="10" t="s">
        <v>89</v>
      </c>
      <c r="C7" s="43">
        <f>FLOWS!C7</f>
        <v>2300</v>
      </c>
      <c r="D7" s="43">
        <f>FLOWS!D7</f>
        <v>200</v>
      </c>
      <c r="E7" s="43">
        <f>FLOWS!E7</f>
        <v>260</v>
      </c>
      <c r="F7" s="44">
        <f t="shared" si="0"/>
        <v>8.6956521739130432E-2</v>
      </c>
      <c r="G7" s="44">
        <f t="shared" si="1"/>
        <v>0.11304347826086956</v>
      </c>
      <c r="H7" s="44">
        <f t="shared" si="2"/>
        <v>8.6956521739130432E-2</v>
      </c>
      <c r="I7" s="44">
        <f>PARAMS!F6</f>
        <v>1.0301985811792952E-2</v>
      </c>
      <c r="J7" s="45">
        <f>H7 * (-PARAMS!B4) * I7</f>
        <v>-2.6874745595981613E-4</v>
      </c>
      <c r="K7" s="36">
        <f t="shared" si="3"/>
        <v>-5.3749491191963226E-2</v>
      </c>
      <c r="L7" s="46">
        <f>IFERROR(K7/FLOWS!$G$3,0)</f>
        <v>-9.288613554066848E-6</v>
      </c>
      <c r="M7" s="36"/>
      <c r="N7" s="36"/>
      <c r="O7" s="36"/>
    </row>
    <row r="8" spans="1:15" x14ac:dyDescent="0.3">
      <c r="A8" s="40" t="s">
        <v>94</v>
      </c>
      <c r="B8" s="40" t="s">
        <v>89</v>
      </c>
      <c r="C8" s="47">
        <f>FLOWS!C8</f>
        <v>1600</v>
      </c>
      <c r="D8" s="47">
        <f>FLOWS!D8</f>
        <v>130</v>
      </c>
      <c r="E8" s="47">
        <f>FLOWS!E8</f>
        <v>170</v>
      </c>
      <c r="F8" s="48">
        <f t="shared" si="0"/>
        <v>8.1250000000000003E-2</v>
      </c>
      <c r="G8" s="48">
        <f t="shared" si="1"/>
        <v>0.10625</v>
      </c>
      <c r="H8" s="48">
        <f t="shared" si="2"/>
        <v>8.1250000000000003E-2</v>
      </c>
      <c r="I8" s="48">
        <f>PARAMS!F6</f>
        <v>1.0301985811792952E-2</v>
      </c>
      <c r="J8" s="49">
        <f>H8 * (-PARAMS!B4) * I8</f>
        <v>-2.5111090416245321E-4</v>
      </c>
      <c r="K8" s="42">
        <f t="shared" si="3"/>
        <v>-3.2644417541118916E-2</v>
      </c>
      <c r="L8" s="50">
        <f>IFERROR(K8/FLOWS!$G$3,0)</f>
        <v>-5.6413813882277872E-6</v>
      </c>
      <c r="M8" s="42"/>
      <c r="N8" s="42"/>
      <c r="O8" s="42"/>
    </row>
    <row r="9" spans="1:15" x14ac:dyDescent="0.3">
      <c r="A9" s="10" t="s">
        <v>44</v>
      </c>
      <c r="B9" s="10" t="s">
        <v>89</v>
      </c>
      <c r="C9" s="43">
        <f>FLOWS!C9</f>
        <v>5200</v>
      </c>
      <c r="D9" s="43">
        <f>FLOWS!D9</f>
        <v>370</v>
      </c>
      <c r="E9" s="43">
        <f>FLOWS!E9</f>
        <v>2100</v>
      </c>
      <c r="F9" s="44">
        <f t="shared" si="0"/>
        <v>7.1153846153846151E-2</v>
      </c>
      <c r="G9" s="44">
        <f t="shared" si="1"/>
        <v>0.40384615384615385</v>
      </c>
      <c r="H9" s="44">
        <f t="shared" si="2"/>
        <v>7.1153846153846151E-2</v>
      </c>
      <c r="I9" s="44">
        <f>PARAMS!F6</f>
        <v>1.0301985811792952E-2</v>
      </c>
      <c r="J9" s="45">
        <f>H9 * (-PARAMS!B4) * I9</f>
        <v>-2.1990777405942645E-4</v>
      </c>
      <c r="K9" s="36">
        <f t="shared" si="3"/>
        <v>-8.1365876401987794E-2</v>
      </c>
      <c r="L9" s="46">
        <f>IFERROR(K9/FLOWS!$G$3,0)</f>
        <v>-1.4061085335428021E-5</v>
      </c>
      <c r="M9" s="36"/>
      <c r="N9" s="36"/>
      <c r="O9" s="36"/>
    </row>
    <row r="10" spans="1:15" x14ac:dyDescent="0.3">
      <c r="A10" s="40" t="s">
        <v>43</v>
      </c>
      <c r="B10" s="40" t="s">
        <v>89</v>
      </c>
      <c r="C10" s="47">
        <f>FLOWS!C10</f>
        <v>3900</v>
      </c>
      <c r="D10" s="47">
        <f>FLOWS!D10</f>
        <v>2100</v>
      </c>
      <c r="E10" s="47">
        <f>FLOWS!E10</f>
        <v>420</v>
      </c>
      <c r="F10" s="48">
        <f t="shared" si="0"/>
        <v>0.53846153846153844</v>
      </c>
      <c r="G10" s="48">
        <f t="shared" si="1"/>
        <v>0.1076923076923077</v>
      </c>
      <c r="H10" s="48">
        <f t="shared" si="2"/>
        <v>0.1076923076923077</v>
      </c>
      <c r="I10" s="48">
        <f>PARAMS!F6</f>
        <v>1.0301985811792952E-2</v>
      </c>
      <c r="J10" s="49">
        <f>H10 * (-PARAMS!B4) * I10</f>
        <v>-3.3283338776561843E-4</v>
      </c>
      <c r="K10" s="42">
        <f t="shared" si="3"/>
        <v>-0.69895011430779874</v>
      </c>
      <c r="L10" s="50">
        <f>IFERROR(K10/FLOWS!$G$3,0)</f>
        <v>-1.2078770163961543E-4</v>
      </c>
      <c r="M10" s="42"/>
      <c r="N10" s="42"/>
      <c r="O10" s="42"/>
    </row>
    <row r="11" spans="1:15" ht="26.4" x14ac:dyDescent="0.3">
      <c r="A11" s="10" t="s">
        <v>88</v>
      </c>
      <c r="B11" s="10" t="s">
        <v>95</v>
      </c>
      <c r="C11" s="43">
        <f>FLOWS!C11</f>
        <v>1600</v>
      </c>
      <c r="D11" s="43">
        <f>FLOWS!D11</f>
        <v>143</v>
      </c>
      <c r="E11" s="43">
        <f>FLOWS!E11</f>
        <v>230</v>
      </c>
      <c r="F11" s="44">
        <f t="shared" si="0"/>
        <v>8.9374999999999996E-2</v>
      </c>
      <c r="G11" s="44">
        <f t="shared" si="1"/>
        <v>0.14374999999999999</v>
      </c>
      <c r="H11" s="44">
        <f t="shared" si="2"/>
        <v>8.9374999999999996E-2</v>
      </c>
      <c r="I11" s="44">
        <f>PARAMS!F6</f>
        <v>1.0301985811792952E-2</v>
      </c>
      <c r="J11" s="45">
        <f>H11 * (-PARAMS!B4) * I11</f>
        <v>-2.7622199457869853E-4</v>
      </c>
      <c r="K11" s="36">
        <f t="shared" si="3"/>
        <v>-3.9499745224753892E-2</v>
      </c>
      <c r="L11" s="46">
        <f>IFERROR(K11/FLOWS!$G$3,0)</f>
        <v>-6.826071479755623E-6</v>
      </c>
      <c r="M11" s="36"/>
      <c r="N11" s="36"/>
      <c r="O11" s="36"/>
    </row>
    <row r="12" spans="1:15" ht="26.4" x14ac:dyDescent="0.3">
      <c r="A12" s="40" t="s">
        <v>90</v>
      </c>
      <c r="B12" s="40" t="s">
        <v>95</v>
      </c>
      <c r="C12" s="47">
        <f>FLOWS!C12</f>
        <v>1400</v>
      </c>
      <c r="D12" s="47">
        <f>FLOWS!D12</f>
        <v>132</v>
      </c>
      <c r="E12" s="47">
        <f>FLOWS!E12</f>
        <v>190</v>
      </c>
      <c r="F12" s="48">
        <f t="shared" si="0"/>
        <v>9.4285714285714292E-2</v>
      </c>
      <c r="G12" s="48">
        <f t="shared" si="1"/>
        <v>0.1357142857142857</v>
      </c>
      <c r="H12" s="48">
        <f t="shared" si="2"/>
        <v>9.4285714285714292E-2</v>
      </c>
      <c r="I12" s="48">
        <f>PARAMS!F6</f>
        <v>1.0301985811792952E-2</v>
      </c>
      <c r="J12" s="49">
        <f>H12 * (-PARAMS!B4) * I12</f>
        <v>-2.913990272478578E-4</v>
      </c>
      <c r="K12" s="42">
        <f t="shared" si="3"/>
        <v>-3.846467159671723E-2</v>
      </c>
      <c r="L12" s="50">
        <f>IFERROR(K12/FLOWS!$G$3,0)</f>
        <v>-6.647197248248925E-6</v>
      </c>
      <c r="M12" s="42"/>
      <c r="N12" s="42"/>
      <c r="O12" s="42"/>
    </row>
    <row r="13" spans="1:15" ht="26.4" x14ac:dyDescent="0.3">
      <c r="A13" s="10" t="s">
        <v>91</v>
      </c>
      <c r="B13" s="10" t="s">
        <v>95</v>
      </c>
      <c r="C13" s="43">
        <f>FLOWS!C13</f>
        <v>750</v>
      </c>
      <c r="D13" s="43">
        <f>FLOWS!D13</f>
        <v>75</v>
      </c>
      <c r="E13" s="43">
        <f>FLOWS!E13</f>
        <v>125</v>
      </c>
      <c r="F13" s="44">
        <f t="shared" si="0"/>
        <v>0.1</v>
      </c>
      <c r="G13" s="44">
        <f t="shared" si="1"/>
        <v>0.16666666666666666</v>
      </c>
      <c r="H13" s="44">
        <f t="shared" si="2"/>
        <v>0.1</v>
      </c>
      <c r="I13" s="44">
        <f>PARAMS!F6</f>
        <v>1.0301985811792952E-2</v>
      </c>
      <c r="J13" s="45">
        <f>H13 * (-PARAMS!B4) * I13</f>
        <v>-3.0905957435378853E-4</v>
      </c>
      <c r="K13" s="36">
        <f t="shared" si="3"/>
        <v>-2.3179468076534138E-2</v>
      </c>
      <c r="L13" s="46">
        <f>IFERROR(K13/FLOWS!$G$3,0)</f>
        <v>-4.0057145951913279E-6</v>
      </c>
      <c r="M13" s="36"/>
      <c r="N13" s="36"/>
      <c r="O13" s="36"/>
    </row>
    <row r="14" spans="1:15" ht="26.4" x14ac:dyDescent="0.3">
      <c r="A14" s="40" t="s">
        <v>92</v>
      </c>
      <c r="B14" s="40" t="s">
        <v>95</v>
      </c>
      <c r="C14" s="47">
        <f>FLOWS!C14</f>
        <v>550</v>
      </c>
      <c r="D14" s="47">
        <f>FLOWS!D14</f>
        <v>51</v>
      </c>
      <c r="E14" s="47">
        <f>FLOWS!E14</f>
        <v>105</v>
      </c>
      <c r="F14" s="48">
        <f t="shared" si="0"/>
        <v>9.2727272727272728E-2</v>
      </c>
      <c r="G14" s="48">
        <f t="shared" si="1"/>
        <v>0.19090909090909092</v>
      </c>
      <c r="H14" s="48">
        <f t="shared" si="2"/>
        <v>9.2727272727272728E-2</v>
      </c>
      <c r="I14" s="48">
        <f>PARAMS!F6</f>
        <v>1.0301985811792952E-2</v>
      </c>
      <c r="J14" s="49">
        <f>H14 * (-PARAMS!B4) * I14</f>
        <v>-2.8658251440078576E-4</v>
      </c>
      <c r="K14" s="42">
        <f t="shared" si="3"/>
        <v>-1.4615708234440073E-2</v>
      </c>
      <c r="L14" s="50">
        <f>IFERROR(K14/FLOWS!$G$3,0)</f>
        <v>-2.5257851302042773E-6</v>
      </c>
      <c r="M14" s="42"/>
      <c r="N14" s="42"/>
      <c r="O14" s="42"/>
    </row>
    <row r="15" spans="1:15" ht="26.4" x14ac:dyDescent="0.3">
      <c r="A15" s="10" t="s">
        <v>93</v>
      </c>
      <c r="B15" s="10" t="s">
        <v>95</v>
      </c>
      <c r="C15" s="43">
        <f>FLOWS!C15</f>
        <v>450</v>
      </c>
      <c r="D15" s="43">
        <f>FLOWS!D15</f>
        <v>44</v>
      </c>
      <c r="E15" s="43">
        <f>FLOWS!E15</f>
        <v>58</v>
      </c>
      <c r="F15" s="44">
        <f t="shared" si="0"/>
        <v>9.7777777777777783E-2</v>
      </c>
      <c r="G15" s="44">
        <f t="shared" si="1"/>
        <v>0.12888888888888889</v>
      </c>
      <c r="H15" s="44">
        <f t="shared" si="2"/>
        <v>9.7777777777777783E-2</v>
      </c>
      <c r="I15" s="44">
        <f>PARAMS!$F$6</f>
        <v>1.0301985811792952E-2</v>
      </c>
      <c r="J15" s="45">
        <f>H15 * (-PARAMS!$B$4) * I15</f>
        <v>-3.0219158381259326E-4</v>
      </c>
      <c r="K15" s="36">
        <f t="shared" si="3"/>
        <v>-1.3296429687754104E-2</v>
      </c>
      <c r="L15" s="46">
        <f>IFERROR(K15/FLOWS!$G$3,0)</f>
        <v>-2.2977965796416036E-6</v>
      </c>
      <c r="M15" s="36"/>
      <c r="N15" s="36"/>
      <c r="O15" s="36"/>
    </row>
    <row r="16" spans="1:15" ht="26.4" x14ac:dyDescent="0.3">
      <c r="A16" s="40" t="s">
        <v>94</v>
      </c>
      <c r="B16" s="40" t="s">
        <v>95</v>
      </c>
      <c r="C16" s="47">
        <f>FLOWS!C16</f>
        <v>350</v>
      </c>
      <c r="D16" s="47">
        <f>FLOWS!D16</f>
        <v>30.6</v>
      </c>
      <c r="E16" s="47">
        <f>FLOWS!E16</f>
        <v>38</v>
      </c>
      <c r="F16" s="48">
        <f t="shared" si="0"/>
        <v>8.7428571428571439E-2</v>
      </c>
      <c r="G16" s="48">
        <f t="shared" si="1"/>
        <v>0.10857142857142857</v>
      </c>
      <c r="H16" s="48">
        <f t="shared" si="2"/>
        <v>8.7428571428571439E-2</v>
      </c>
      <c r="I16" s="48">
        <f>PARAMS!$F$6</f>
        <v>1.0301985811792952E-2</v>
      </c>
      <c r="J16" s="49">
        <f>H16 * (-PARAMS!$B$4) * I16</f>
        <v>-2.7020637072074088E-4</v>
      </c>
      <c r="K16" s="42">
        <f t="shared" si="3"/>
        <v>-8.2683149440546718E-3</v>
      </c>
      <c r="L16" s="50">
        <f>IFERROR(K16/FLOWS!$G$3,0)</f>
        <v>-1.4288727308012772E-6</v>
      </c>
      <c r="M16" s="42"/>
      <c r="N16" s="42"/>
      <c r="O16" s="42"/>
    </row>
    <row r="17" spans="1:15" ht="26.4" x14ac:dyDescent="0.3">
      <c r="A17" s="10" t="s">
        <v>44</v>
      </c>
      <c r="B17" s="10" t="s">
        <v>95</v>
      </c>
      <c r="C17" s="43">
        <f>FLOWS!C17</f>
        <v>1200</v>
      </c>
      <c r="D17" s="43">
        <f>FLOWS!D17</f>
        <v>61</v>
      </c>
      <c r="E17" s="43">
        <f>FLOWS!E17</f>
        <v>400</v>
      </c>
      <c r="F17" s="44">
        <f t="shared" si="0"/>
        <v>5.0833333333333335E-2</v>
      </c>
      <c r="G17" s="44">
        <f t="shared" si="1"/>
        <v>0.33333333333333331</v>
      </c>
      <c r="H17" s="44">
        <f t="shared" si="2"/>
        <v>5.0833333333333335E-2</v>
      </c>
      <c r="I17" s="44">
        <f>PARAMS!$F$6</f>
        <v>1.0301985811792952E-2</v>
      </c>
      <c r="J17" s="45">
        <f>H17 * (-PARAMS!$B$4) * I17</f>
        <v>-1.5710528362984251E-4</v>
      </c>
      <c r="K17" s="36">
        <f t="shared" si="3"/>
        <v>-9.5834223014203933E-3</v>
      </c>
      <c r="L17" s="46">
        <f>IFERROR(K17/FLOWS!$G$3,0)</f>
        <v>-1.6561404454118814E-6</v>
      </c>
      <c r="M17" s="36"/>
      <c r="N17" s="36"/>
      <c r="O17" s="36"/>
    </row>
    <row r="18" spans="1:15" ht="26.4" x14ac:dyDescent="0.3">
      <c r="A18" s="40" t="s">
        <v>43</v>
      </c>
      <c r="B18" s="40" t="s">
        <v>95</v>
      </c>
      <c r="C18" s="47">
        <f>FLOWS!C18</f>
        <v>1000</v>
      </c>
      <c r="D18" s="47">
        <f>FLOWS!D18</f>
        <v>300</v>
      </c>
      <c r="E18" s="47">
        <f>FLOWS!E18</f>
        <v>120</v>
      </c>
      <c r="F18" s="48">
        <f t="shared" si="0"/>
        <v>0.3</v>
      </c>
      <c r="G18" s="48">
        <f t="shared" si="1"/>
        <v>0.12</v>
      </c>
      <c r="H18" s="48">
        <f t="shared" si="2"/>
        <v>0.12</v>
      </c>
      <c r="I18" s="48">
        <f>PARAMS!$F$6</f>
        <v>1.0301985811792952E-2</v>
      </c>
      <c r="J18" s="49">
        <f>H18 * (-PARAMS!$B$4) * I18</f>
        <v>-3.7087148922454623E-4</v>
      </c>
      <c r="K18" s="42">
        <f t="shared" si="3"/>
        <v>-0.11126144676736387</v>
      </c>
      <c r="L18" s="50">
        <f>IFERROR(K18/FLOWS!$G$3,0)</f>
        <v>-1.9227430056918375E-5</v>
      </c>
      <c r="M18" s="42"/>
      <c r="N18" s="42"/>
      <c r="O18" s="42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>
      <selection activeCell="F16" sqref="F16"/>
    </sheetView>
  </sheetViews>
  <sheetFormatPr baseColWidth="10" defaultColWidth="8.88671875" defaultRowHeight="14.4" x14ac:dyDescent="0.3"/>
  <cols>
    <col min="1" max="1" width="45" customWidth="1"/>
    <col min="2" max="2" width="18" customWidth="1"/>
    <col min="3" max="3" width="50" customWidth="1"/>
  </cols>
  <sheetData>
    <row r="1" spans="1:10" ht="18.75" customHeight="1" x14ac:dyDescent="0.3">
      <c r="A1" s="60" t="s">
        <v>108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5.6" x14ac:dyDescent="0.3">
      <c r="A2" s="9" t="s">
        <v>109</v>
      </c>
      <c r="B2" s="9" t="s">
        <v>2</v>
      </c>
      <c r="C2" s="9" t="s">
        <v>3</v>
      </c>
    </row>
    <row r="3" spans="1:10" x14ac:dyDescent="0.3">
      <c r="A3" s="10" t="s">
        <v>110</v>
      </c>
      <c r="B3" s="51">
        <v>5</v>
      </c>
      <c r="C3" s="12" t="s">
        <v>111</v>
      </c>
    </row>
    <row r="4" spans="1:10" x14ac:dyDescent="0.3">
      <c r="A4" s="10" t="s">
        <v>112</v>
      </c>
      <c r="B4" s="52">
        <v>4699.4969771691558</v>
      </c>
      <c r="C4" s="12" t="s">
        <v>113</v>
      </c>
    </row>
    <row r="5" spans="1:10" x14ac:dyDescent="0.3">
      <c r="A5" s="10" t="s">
        <v>56</v>
      </c>
      <c r="B5" s="53">
        <v>0.09</v>
      </c>
      <c r="C5" s="12" t="s">
        <v>114</v>
      </c>
    </row>
    <row r="6" spans="1:10" x14ac:dyDescent="0.3">
      <c r="A6" s="10" t="s">
        <v>115</v>
      </c>
      <c r="B6" s="53">
        <v>8.1080651839200005E-2</v>
      </c>
      <c r="C6" s="12" t="s">
        <v>116</v>
      </c>
    </row>
    <row r="7" spans="1:10" x14ac:dyDescent="0.3">
      <c r="A7" s="10" t="s">
        <v>117</v>
      </c>
      <c r="B7" s="45">
        <f>MAX(0,B5-B6)</f>
        <v>8.9193481607999919E-3</v>
      </c>
      <c r="C7" s="12" t="s">
        <v>118</v>
      </c>
    </row>
    <row r="8" spans="1:10" x14ac:dyDescent="0.3">
      <c r="A8" s="10" t="s">
        <v>119</v>
      </c>
      <c r="B8" s="54">
        <f>B4*B7</f>
        <v>41.91644971999883</v>
      </c>
      <c r="C8" s="12" t="s">
        <v>120</v>
      </c>
    </row>
    <row r="9" spans="1:10" x14ac:dyDescent="0.3">
      <c r="A9" s="10" t="s">
        <v>121</v>
      </c>
      <c r="B9" s="55">
        <v>1.8</v>
      </c>
      <c r="C9" s="12" t="s">
        <v>122</v>
      </c>
    </row>
    <row r="10" spans="1:10" x14ac:dyDescent="0.3">
      <c r="A10" s="10" t="s">
        <v>123</v>
      </c>
      <c r="B10" s="54">
        <f>IF(B6&gt;0, B8/B6*B9, 0)</f>
        <v>930.55011010062367</v>
      </c>
      <c r="C10" s="12" t="s">
        <v>124</v>
      </c>
    </row>
    <row r="11" spans="1:10" x14ac:dyDescent="0.3">
      <c r="A11" s="10" t="s">
        <v>125</v>
      </c>
      <c r="B11" s="51">
        <v>4</v>
      </c>
      <c r="C11" s="12" t="s">
        <v>76</v>
      </c>
    </row>
    <row r="12" spans="1:10" x14ac:dyDescent="0.3">
      <c r="A12" s="10" t="s">
        <v>126</v>
      </c>
      <c r="B12" s="51">
        <v>1.8</v>
      </c>
      <c r="C12" s="12" t="s">
        <v>79</v>
      </c>
    </row>
    <row r="13" spans="1:10" x14ac:dyDescent="0.3">
      <c r="A13" s="10" t="s">
        <v>127</v>
      </c>
      <c r="B13" s="54">
        <f>B10*B11</f>
        <v>3722.2004404024947</v>
      </c>
      <c r="C13" s="12" t="s">
        <v>128</v>
      </c>
    </row>
    <row r="14" spans="1:10" x14ac:dyDescent="0.3">
      <c r="A14" s="10" t="s">
        <v>129</v>
      </c>
      <c r="B14" s="54">
        <f>B12*B13</f>
        <v>6699.9607927244906</v>
      </c>
      <c r="C14" s="12" t="s">
        <v>130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workbookViewId="0">
      <selection activeCell="C29" sqref="C29"/>
    </sheetView>
  </sheetViews>
  <sheetFormatPr baseColWidth="10" defaultColWidth="8.88671875" defaultRowHeight="14.4" x14ac:dyDescent="0.3"/>
  <cols>
    <col min="1" max="1" width="45" customWidth="1"/>
    <col min="2" max="2" width="18" customWidth="1"/>
    <col min="3" max="3" width="50" customWidth="1"/>
  </cols>
  <sheetData>
    <row r="1" spans="1:12" ht="18.75" customHeight="1" x14ac:dyDescent="0.3">
      <c r="A1" s="60" t="s">
        <v>131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15.6" x14ac:dyDescent="0.3">
      <c r="A2" s="9" t="s">
        <v>109</v>
      </c>
      <c r="B2" s="9" t="s">
        <v>2</v>
      </c>
      <c r="C2" s="9" t="s">
        <v>3</v>
      </c>
    </row>
    <row r="3" spans="1:12" x14ac:dyDescent="0.3">
      <c r="A3" s="10" t="s">
        <v>132</v>
      </c>
      <c r="B3" s="36">
        <f>- OVERLAP!O3</f>
        <v>1.8340850431516516</v>
      </c>
      <c r="C3" s="12" t="s">
        <v>133</v>
      </c>
    </row>
    <row r="4" spans="1:12" x14ac:dyDescent="0.3">
      <c r="A4" s="10" t="s">
        <v>125</v>
      </c>
      <c r="B4" s="36">
        <f>PARAMS!B6</f>
        <v>4</v>
      </c>
      <c r="C4" s="12" t="s">
        <v>134</v>
      </c>
    </row>
    <row r="5" spans="1:12" x14ac:dyDescent="0.3">
      <c r="A5" s="10" t="s">
        <v>126</v>
      </c>
      <c r="B5" s="36">
        <f>PARAMS!B7</f>
        <v>1.8</v>
      </c>
      <c r="C5" s="12" t="s">
        <v>135</v>
      </c>
    </row>
    <row r="6" spans="1:12" x14ac:dyDescent="0.3">
      <c r="A6" s="10" t="s">
        <v>136</v>
      </c>
      <c r="B6" s="36">
        <f>B3*B4</f>
        <v>7.3363401726066062</v>
      </c>
      <c r="C6" s="12" t="s">
        <v>137</v>
      </c>
    </row>
    <row r="7" spans="1:12" x14ac:dyDescent="0.3">
      <c r="A7" s="10" t="s">
        <v>138</v>
      </c>
      <c r="B7" s="36">
        <f>B5*B6</f>
        <v>13.205412310691891</v>
      </c>
      <c r="C7" s="12" t="s">
        <v>139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D11" sqref="D11"/>
    </sheetView>
  </sheetViews>
  <sheetFormatPr baseColWidth="10" defaultRowHeight="14.4" x14ac:dyDescent="0.3"/>
  <cols>
    <col min="1" max="1" width="35" bestFit="1" customWidth="1"/>
    <col min="2" max="2" width="20" customWidth="1"/>
  </cols>
  <sheetData>
    <row r="1" spans="1:2" ht="15.6" x14ac:dyDescent="0.3">
      <c r="A1" s="56"/>
      <c r="B1" s="57"/>
    </row>
    <row r="2" spans="1:2" x14ac:dyDescent="0.3">
      <c r="A2" s="10" t="s">
        <v>140</v>
      </c>
      <c r="B2" s="54">
        <f>EMPLOYMENT_SALES!B7</f>
        <v>13.205412310691891</v>
      </c>
    </row>
    <row r="3" spans="1:2" x14ac:dyDescent="0.3">
      <c r="A3" s="10" t="s">
        <v>141</v>
      </c>
      <c r="B3" s="54">
        <f>EMPLOYMENT_MARGIN!B14</f>
        <v>6699.9607927244906</v>
      </c>
    </row>
    <row r="4" spans="1:2" ht="15.6" x14ac:dyDescent="0.3">
      <c r="A4" s="58" t="s">
        <v>142</v>
      </c>
      <c r="B4" s="59">
        <f>SUM(B2:B3)</f>
        <v>6713.1662050351824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Inputs</vt:lpstr>
      <vt:lpstr>Projection_5Y</vt:lpstr>
      <vt:lpstr>DCF</vt:lpstr>
      <vt:lpstr>WEDGE</vt:lpstr>
      <vt:lpstr>PARAMS</vt:lpstr>
      <vt:lpstr>FLOWS</vt:lpstr>
      <vt:lpstr>OVERLAP</vt:lpstr>
      <vt:lpstr>EMPLOYMENT_MARGIN</vt:lpstr>
      <vt:lpstr>EMPLOYMENT_SALES</vt:lpstr>
      <vt:lpstr>TOTAL_EMPLOYMENT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Aitor BERNAL</cp:lastModifiedBy>
  <dcterms:created xsi:type="dcterms:W3CDTF">2025-10-26T09:46:55Z</dcterms:created>
  <dcterms:modified xsi:type="dcterms:W3CDTF">2025-11-01T22:20:49Z</dcterms:modified>
</cp:coreProperties>
</file>