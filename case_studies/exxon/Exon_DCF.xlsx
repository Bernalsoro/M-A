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mygroup-my.sharepoint.com/personal/aitor_bernal_hmy-group_com/Documents/Escritorio/IEB/Entrevistas/"/>
    </mc:Choice>
  </mc:AlternateContent>
  <xr:revisionPtr revIDLastSave="590" documentId="13_ncr:1_{A4337783-0C99-42E2-A5A7-2007A2B88238}" xr6:coauthVersionLast="47" xr6:coauthVersionMax="47" xr10:uidLastSave="{0AE5C35B-D822-4434-91FF-AE449DD0D8A1}"/>
  <bookViews>
    <workbookView xWindow="-108" yWindow="-108" windowWidth="23256" windowHeight="12456" activeTab="3" xr2:uid="{A02CFF85-0CE3-4488-A447-ECC1646C77D5}"/>
  </bookViews>
  <sheets>
    <sheet name="CashFlow" sheetId="12" r:id="rId1"/>
    <sheet name="P&amp;L" sheetId="11" r:id="rId2"/>
    <sheet name="Cover" sheetId="4" r:id="rId3"/>
    <sheet name="DCF" sheetId="1" r:id="rId4"/>
    <sheet name="WACC" sheetId="5" r:id="rId5"/>
    <sheet name="Shares" sheetId="6" r:id="rId6"/>
    <sheet name="Comps" sheetId="16" r:id="rId7"/>
    <sheet name="Charts" sheetId="17" r:id="rId8"/>
  </sheets>
  <definedNames>
    <definedName name="DatosExternos_1" localSheetId="1" hidden="1">'P&amp;L'!$A$1:$AO$6</definedName>
    <definedName name="DatosExternos_2" localSheetId="0" hidden="1">CashFlow!$A$1:$AU$6</definedName>
    <definedName name="dr">DCF!$E$18</definedName>
    <definedName name="EBIT">DCF!$E$13</definedName>
    <definedName name="Rev">DCF!$E$12</definedName>
    <definedName name="tg">DCF!$E$19</definedName>
    <definedName name="TGR">DCF!$E$15</definedName>
    <definedName name="WACC">DCF!$E$14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7" l="1"/>
  <c r="F7" i="17"/>
  <c r="E2" i="17"/>
  <c r="F2" i="17"/>
  <c r="E3" i="17"/>
  <c r="F3" i="17"/>
  <c r="E4" i="17"/>
  <c r="F4" i="17"/>
  <c r="E5" i="17"/>
  <c r="F5" i="17"/>
  <c r="E6" i="17"/>
  <c r="F6" i="17"/>
  <c r="AE16" i="16" l="1"/>
  <c r="AM13" i="16"/>
  <c r="AD17" i="16"/>
  <c r="AL12" i="16" s="1"/>
  <c r="AE17" i="16"/>
  <c r="AL13" i="16" s="1"/>
  <c r="AF17" i="16"/>
  <c r="AM14" i="16" s="1"/>
  <c r="AD16" i="16"/>
  <c r="AM12" i="16" s="1"/>
  <c r="AF16" i="16"/>
  <c r="AL14" i="16" l="1"/>
  <c r="J22" i="16"/>
  <c r="J23" i="16"/>
  <c r="J24" i="16"/>
  <c r="J21" i="16"/>
  <c r="AC5" i="16"/>
  <c r="AC13" i="16"/>
  <c r="AC12" i="16"/>
  <c r="AC11" i="16"/>
  <c r="AC10" i="16"/>
  <c r="AC9" i="16"/>
  <c r="AC8" i="16"/>
  <c r="AC7" i="16"/>
  <c r="AB12" i="16"/>
  <c r="AA12" i="16"/>
  <c r="Z12" i="16"/>
  <c r="Y12" i="16"/>
  <c r="X12" i="16"/>
  <c r="AB13" i="16"/>
  <c r="AB11" i="16"/>
  <c r="AB10" i="16"/>
  <c r="AB9" i="16"/>
  <c r="AB8" i="16"/>
  <c r="AA9" i="16"/>
  <c r="Z9" i="16"/>
  <c r="Y9" i="16"/>
  <c r="X9" i="16"/>
  <c r="AB7" i="16"/>
  <c r="AB5" i="16"/>
  <c r="I21" i="16"/>
  <c r="I22" i="16" s="1"/>
  <c r="I23" i="16" s="1"/>
  <c r="I24" i="16" s="1"/>
  <c r="H21" i="16"/>
  <c r="H22" i="16" s="1"/>
  <c r="H23" i="16" s="1"/>
  <c r="H24" i="16" s="1"/>
  <c r="AA13" i="16"/>
  <c r="Z13" i="16"/>
  <c r="Y13" i="16"/>
  <c r="X13" i="16"/>
  <c r="V13" i="16"/>
  <c r="U13" i="16"/>
  <c r="T13" i="16"/>
  <c r="S13" i="16"/>
  <c r="R13" i="16"/>
  <c r="Q13" i="16"/>
  <c r="V12" i="16"/>
  <c r="U12" i="16"/>
  <c r="T12" i="16"/>
  <c r="S12" i="16"/>
  <c r="R12" i="16"/>
  <c r="Q12" i="16"/>
  <c r="AA11" i="16"/>
  <c r="Z11" i="16"/>
  <c r="Y11" i="16"/>
  <c r="X11" i="16"/>
  <c r="V11" i="16"/>
  <c r="U11" i="16"/>
  <c r="T11" i="16"/>
  <c r="S11" i="16"/>
  <c r="R11" i="16"/>
  <c r="Q11" i="16"/>
  <c r="AA10" i="16"/>
  <c r="Z10" i="16"/>
  <c r="Y10" i="16"/>
  <c r="X10" i="16"/>
  <c r="V10" i="16"/>
  <c r="U10" i="16"/>
  <c r="T10" i="16"/>
  <c r="S10" i="16"/>
  <c r="R10" i="16"/>
  <c r="Q10" i="16"/>
  <c r="V9" i="16"/>
  <c r="U9" i="16"/>
  <c r="T9" i="16"/>
  <c r="S9" i="16"/>
  <c r="R9" i="16"/>
  <c r="Q9" i="16"/>
  <c r="AA8" i="16"/>
  <c r="Z8" i="16"/>
  <c r="Y8" i="16"/>
  <c r="X8" i="16"/>
  <c r="V8" i="16"/>
  <c r="U8" i="16"/>
  <c r="T8" i="16"/>
  <c r="S8" i="16"/>
  <c r="R8" i="16"/>
  <c r="Q8" i="16"/>
  <c r="AA7" i="16"/>
  <c r="Z7" i="16"/>
  <c r="Y7" i="16"/>
  <c r="X7" i="16"/>
  <c r="V7" i="16"/>
  <c r="U7" i="16"/>
  <c r="T7" i="16"/>
  <c r="S7" i="16"/>
  <c r="R7" i="16"/>
  <c r="Q7" i="16"/>
  <c r="AA5" i="16"/>
  <c r="Z5" i="16"/>
  <c r="Y5" i="16"/>
  <c r="X5" i="16"/>
  <c r="V5" i="16"/>
  <c r="U5" i="16"/>
  <c r="T5" i="16"/>
  <c r="S5" i="16"/>
  <c r="R5" i="16"/>
  <c r="Q5" i="16"/>
  <c r="V3" i="16"/>
  <c r="U3" i="16"/>
  <c r="O3" i="16"/>
  <c r="N3" i="16"/>
  <c r="R16" i="16" l="1"/>
  <c r="Q17" i="16"/>
  <c r="T16" i="16"/>
  <c r="AM10" i="16" s="1"/>
  <c r="E21" i="16"/>
  <c r="M21" i="16" s="1"/>
  <c r="U21" i="16" s="1"/>
  <c r="Y21" i="16" s="1"/>
  <c r="S16" i="16"/>
  <c r="S17" i="16"/>
  <c r="U16" i="16"/>
  <c r="T17" i="16"/>
  <c r="AL10" i="16" s="1"/>
  <c r="V16" i="16"/>
  <c r="AM11" i="16" s="1"/>
  <c r="Y16" i="16"/>
  <c r="D22" i="16" s="1"/>
  <c r="L22" i="16" s="1"/>
  <c r="T22" i="16" s="1"/>
  <c r="X22" i="16" s="1"/>
  <c r="AA16" i="16"/>
  <c r="E22" i="16" s="1"/>
  <c r="M22" i="16" s="1"/>
  <c r="U22" i="16" s="1"/>
  <c r="Y22" i="16" s="1"/>
  <c r="Z16" i="16"/>
  <c r="AC17" i="16"/>
  <c r="F23" i="16" s="1"/>
  <c r="V23" i="16" s="1"/>
  <c r="Z23" i="16" s="1"/>
  <c r="F21" i="16"/>
  <c r="V21" i="16" s="1"/>
  <c r="Z21" i="16" s="1"/>
  <c r="F24" i="16"/>
  <c r="V24" i="16" s="1"/>
  <c r="Z24" i="16" s="1"/>
  <c r="D24" i="16"/>
  <c r="L24" i="16" s="1"/>
  <c r="T24" i="16" s="1"/>
  <c r="X24" i="16" s="1"/>
  <c r="E24" i="16"/>
  <c r="M24" i="16" s="1"/>
  <c r="U24" i="16" s="1"/>
  <c r="Y24" i="16" s="1"/>
  <c r="AB16" i="16"/>
  <c r="AB17" i="16"/>
  <c r="X16" i="16"/>
  <c r="U17" i="16"/>
  <c r="AC16" i="16"/>
  <c r="F22" i="16" s="1"/>
  <c r="V22" i="16" s="1"/>
  <c r="Z22" i="16" s="1"/>
  <c r="Q16" i="16"/>
  <c r="D21" i="16"/>
  <c r="L21" i="16" s="1"/>
  <c r="T21" i="16" s="1"/>
  <c r="X21" i="16" s="1"/>
  <c r="R17" i="16"/>
  <c r="V17" i="16"/>
  <c r="AL11" i="16" s="1"/>
  <c r="X17" i="16"/>
  <c r="Y17" i="16"/>
  <c r="D23" i="16" s="1"/>
  <c r="L23" i="16" s="1"/>
  <c r="T23" i="16" s="1"/>
  <c r="X23" i="16" s="1"/>
  <c r="Z17" i="16"/>
  <c r="AA17" i="16"/>
  <c r="E23" i="16" s="1"/>
  <c r="M23" i="16" s="1"/>
  <c r="U23" i="16" s="1"/>
  <c r="Y23" i="16" s="1"/>
  <c r="AM9" i="16" l="1"/>
  <c r="AL8" i="16"/>
  <c r="AM8" i="16"/>
  <c r="AL9" i="16"/>
  <c r="AL7" i="16"/>
  <c r="AM7" i="16"/>
  <c r="O52" i="1"/>
  <c r="O53" i="1"/>
  <c r="O54" i="1"/>
  <c r="O84" i="1"/>
  <c r="E16" i="6"/>
  <c r="F17" i="5"/>
  <c r="J75" i="1"/>
  <c r="I44" i="1"/>
  <c r="J23" i="1"/>
  <c r="K23" i="1" s="1"/>
  <c r="K74" i="1" l="1"/>
  <c r="L74" i="1" s="1"/>
  <c r="M74" i="1" s="1"/>
  <c r="N74" i="1" s="1"/>
  <c r="O74" i="1" s="1"/>
  <c r="J24" i="1"/>
  <c r="J26" i="1"/>
  <c r="J29" i="1" s="1"/>
  <c r="K48" i="1"/>
  <c r="K46" i="1"/>
  <c r="L23" i="1"/>
  <c r="K24" i="1"/>
  <c r="K26" i="1"/>
  <c r="K29" i="1" s="1"/>
  <c r="J74" i="1"/>
  <c r="M23" i="1" l="1"/>
  <c r="L26" i="1"/>
  <c r="L29" i="1" s="1"/>
  <c r="L24" i="1"/>
  <c r="N23" i="1" l="1"/>
  <c r="N24" i="1" s="1"/>
  <c r="M24" i="1"/>
  <c r="M26" i="1"/>
  <c r="M29" i="1" s="1"/>
  <c r="N26" i="1" l="1"/>
  <c r="N29" i="1" s="1"/>
  <c r="I40" i="1"/>
  <c r="I68" i="1" s="1"/>
  <c r="I41" i="1"/>
  <c r="I61" i="1"/>
  <c r="I64" i="1"/>
  <c r="I67" i="1"/>
  <c r="I57" i="1"/>
  <c r="F18" i="5" s="1"/>
  <c r="I50" i="1"/>
  <c r="E43" i="1"/>
  <c r="F43" i="1" s="1"/>
  <c r="G43" i="1" s="1"/>
  <c r="H43" i="1" s="1"/>
  <c r="I43" i="1" s="1"/>
  <c r="J43" i="1" s="1"/>
  <c r="K43" i="1" s="1"/>
  <c r="L43" i="1" s="1"/>
  <c r="M43" i="1" s="1"/>
  <c r="N43" i="1" s="1"/>
  <c r="O43" i="1" s="1"/>
  <c r="G41" i="1"/>
  <c r="E40" i="1"/>
  <c r="I34" i="1"/>
  <c r="I62" i="1" s="1"/>
  <c r="I37" i="1"/>
  <c r="I65" i="1" s="1"/>
  <c r="E34" i="1"/>
  <c r="I29" i="1"/>
  <c r="I56" i="1" s="1"/>
  <c r="G29" i="1"/>
  <c r="H29" i="1"/>
  <c r="F29" i="1"/>
  <c r="AE2" i="11"/>
  <c r="AE3" i="11"/>
  <c r="AE4" i="11"/>
  <c r="AE5" i="11"/>
  <c r="AE6" i="11"/>
  <c r="I24" i="1"/>
  <c r="I27" i="1"/>
  <c r="J52" i="1" s="1"/>
  <c r="E45" i="1"/>
  <c r="E32" i="1"/>
  <c r="F32" i="1" s="1"/>
  <c r="G32" i="1" s="1"/>
  <c r="H32" i="1" s="1"/>
  <c r="E21" i="1"/>
  <c r="F21" i="1" s="1"/>
  <c r="G21" i="1" s="1"/>
  <c r="H21" i="1" s="1"/>
  <c r="I21" i="1" s="1"/>
  <c r="J21" i="1" s="1"/>
  <c r="K21" i="1" s="1"/>
  <c r="L21" i="1" s="1"/>
  <c r="M21" i="1" s="1"/>
  <c r="N21" i="1" s="1"/>
  <c r="K2" i="11"/>
  <c r="K3" i="11"/>
  <c r="K4" i="11"/>
  <c r="K5" i="11"/>
  <c r="K6" i="11"/>
  <c r="M42" i="1"/>
  <c r="N42" i="1" s="1"/>
  <c r="O42" i="1" s="1"/>
  <c r="E19" i="1"/>
  <c r="H50" i="1"/>
  <c r="G50" i="1"/>
  <c r="F50" i="1"/>
  <c r="H44" i="1"/>
  <c r="G44" i="1"/>
  <c r="E44" i="1"/>
  <c r="H67" i="1"/>
  <c r="G67" i="1"/>
  <c r="F67" i="1"/>
  <c r="E67" i="1"/>
  <c r="H64" i="1"/>
  <c r="E64" i="1"/>
  <c r="E61" i="1"/>
  <c r="H57" i="1"/>
  <c r="G57" i="1"/>
  <c r="F57" i="1"/>
  <c r="E57" i="1"/>
  <c r="E27" i="1"/>
  <c r="E51" i="1" s="1"/>
  <c r="F41" i="1"/>
  <c r="I45" i="1" l="1"/>
  <c r="J46" i="1"/>
  <c r="J57" i="1"/>
  <c r="K57" i="1" s="1"/>
  <c r="L57" i="1" s="1"/>
  <c r="M57" i="1" s="1"/>
  <c r="N57" i="1" s="1"/>
  <c r="O57" i="1" s="1"/>
  <c r="I59" i="1"/>
  <c r="I51" i="1"/>
  <c r="I32" i="1"/>
  <c r="J48" i="1"/>
  <c r="H41" i="1"/>
  <c r="F34" i="1"/>
  <c r="F62" i="1" s="1"/>
  <c r="G34" i="1"/>
  <c r="G62" i="1" s="1"/>
  <c r="H34" i="1"/>
  <c r="H62" i="1" s="1"/>
  <c r="F56" i="1"/>
  <c r="F24" i="1"/>
  <c r="F45" i="1" s="1"/>
  <c r="E68" i="1"/>
  <c r="F27" i="1"/>
  <c r="F51" i="1" s="1"/>
  <c r="G24" i="1"/>
  <c r="G45" i="1" s="1"/>
  <c r="F40" i="1"/>
  <c r="F68" i="1" s="1"/>
  <c r="G27" i="1"/>
  <c r="G51" i="1" s="1"/>
  <c r="H24" i="1"/>
  <c r="H45" i="1" s="1"/>
  <c r="G40" i="1"/>
  <c r="G68" i="1" s="1"/>
  <c r="H27" i="1"/>
  <c r="H51" i="1" s="1"/>
  <c r="H40" i="1"/>
  <c r="H68" i="1" s="1"/>
  <c r="F37" i="1"/>
  <c r="F65" i="1" s="1"/>
  <c r="F64" i="1"/>
  <c r="G37" i="1"/>
  <c r="G65" i="1" s="1"/>
  <c r="F44" i="1"/>
  <c r="L47" i="1"/>
  <c r="M47" i="1" s="1"/>
  <c r="N47" i="1" s="1"/>
  <c r="O47" i="1" s="1"/>
  <c r="E37" i="1"/>
  <c r="E65" i="1" s="1"/>
  <c r="E50" i="1"/>
  <c r="E56" i="1"/>
  <c r="G64" i="1"/>
  <c r="H37" i="1"/>
  <c r="H65" i="1" s="1"/>
  <c r="H56" i="1"/>
  <c r="G56" i="1"/>
  <c r="G61" i="1"/>
  <c r="F61" i="1"/>
  <c r="J47" i="1"/>
  <c r="J53" i="1"/>
  <c r="H61" i="1"/>
  <c r="E62" i="1"/>
  <c r="E30" i="6"/>
  <c r="E29" i="6"/>
  <c r="E28" i="6"/>
  <c r="E27" i="6"/>
  <c r="E26" i="6"/>
  <c r="E25" i="6"/>
  <c r="E24" i="6"/>
  <c r="E23" i="6"/>
  <c r="E22" i="6"/>
  <c r="B22" i="6"/>
  <c r="B23" i="6" s="1"/>
  <c r="B24" i="6" s="1"/>
  <c r="B25" i="6" s="1"/>
  <c r="B26" i="6" s="1"/>
  <c r="B27" i="6" s="1"/>
  <c r="B28" i="6" s="1"/>
  <c r="B29" i="6" s="1"/>
  <c r="B30" i="6" s="1"/>
  <c r="E21" i="6"/>
  <c r="F10" i="5"/>
  <c r="F20" i="5"/>
  <c r="F16" i="5" s="1"/>
  <c r="J45" i="1" l="1"/>
  <c r="E32" i="6"/>
  <c r="J65" i="1"/>
  <c r="J68" i="1"/>
  <c r="K68" i="1" s="1"/>
  <c r="L68" i="1" s="1"/>
  <c r="M68" i="1" s="1"/>
  <c r="N68" i="1" s="1"/>
  <c r="O68" i="1" s="1"/>
  <c r="J62" i="1"/>
  <c r="L46" i="1"/>
  <c r="M46" i="1" s="1"/>
  <c r="N46" i="1" s="1"/>
  <c r="O46" i="1" s="1"/>
  <c r="J44" i="1"/>
  <c r="K53" i="1"/>
  <c r="L53" i="1" s="1"/>
  <c r="M53" i="1" s="1"/>
  <c r="N53" i="1" s="1"/>
  <c r="J54" i="1"/>
  <c r="J51" i="1" s="1"/>
  <c r="L48" i="1"/>
  <c r="E10" i="6"/>
  <c r="F9" i="5"/>
  <c r="F22" i="5" s="1"/>
  <c r="J18" i="1" l="1"/>
  <c r="E18" i="1" s="1"/>
  <c r="J67" i="1"/>
  <c r="K45" i="1"/>
  <c r="K44" i="1" s="1"/>
  <c r="K67" i="1" s="1"/>
  <c r="M48" i="1"/>
  <c r="K54" i="1"/>
  <c r="E11" i="6"/>
  <c r="L54" i="1" l="1"/>
  <c r="J50" i="1"/>
  <c r="K65" i="1"/>
  <c r="J64" i="1"/>
  <c r="N48" i="1"/>
  <c r="L45" i="1"/>
  <c r="L44" i="1" s="1"/>
  <c r="L67" i="1" s="1"/>
  <c r="K62" i="1"/>
  <c r="J61" i="1"/>
  <c r="L65" i="1" l="1"/>
  <c r="K64" i="1"/>
  <c r="M45" i="1"/>
  <c r="M44" i="1" s="1"/>
  <c r="M67" i="1" s="1"/>
  <c r="O48" i="1"/>
  <c r="L62" i="1"/>
  <c r="K61" i="1"/>
  <c r="M54" i="1"/>
  <c r="N45" i="1" l="1"/>
  <c r="N44" i="1" s="1"/>
  <c r="N67" i="1" s="1"/>
  <c r="M62" i="1"/>
  <c r="L61" i="1"/>
  <c r="N54" i="1"/>
  <c r="M65" i="1"/>
  <c r="L64" i="1"/>
  <c r="N65" i="1" l="1"/>
  <c r="M64" i="1"/>
  <c r="N62" i="1"/>
  <c r="M61" i="1"/>
  <c r="O45" i="1"/>
  <c r="O44" i="1" s="1"/>
  <c r="O67" i="1" s="1"/>
  <c r="O62" i="1" l="1"/>
  <c r="N61" i="1"/>
  <c r="O65" i="1"/>
  <c r="N64" i="1"/>
  <c r="O61" i="1" l="1"/>
  <c r="O64" i="1"/>
  <c r="J56" i="1" l="1"/>
  <c r="J59" i="1" s="1"/>
  <c r="J71" i="1" l="1"/>
  <c r="J72" i="1" l="1"/>
  <c r="K52" i="1" l="1"/>
  <c r="L52" i="1" l="1"/>
  <c r="K51" i="1"/>
  <c r="K50" i="1" s="1"/>
  <c r="K56" i="1" s="1"/>
  <c r="K59" i="1" s="1"/>
  <c r="K71" i="1" s="1"/>
  <c r="K72" i="1" l="1"/>
  <c r="M52" i="1"/>
  <c r="L51" i="1"/>
  <c r="L50" i="1" s="1"/>
  <c r="L56" i="1" s="1"/>
  <c r="L59" i="1" s="1"/>
  <c r="L71" i="1" s="1"/>
  <c r="L72" i="1" s="1"/>
  <c r="N52" i="1" l="1"/>
  <c r="M51" i="1"/>
  <c r="M50" i="1" s="1"/>
  <c r="M56" i="1" s="1"/>
  <c r="M59" i="1" s="1"/>
  <c r="M71" i="1" s="1"/>
  <c r="M72" i="1" s="1"/>
  <c r="O51" i="1" l="1"/>
  <c r="O50" i="1" s="1"/>
  <c r="O56" i="1" s="1"/>
  <c r="O59" i="1" s="1"/>
  <c r="O71" i="1" s="1"/>
  <c r="N51" i="1"/>
  <c r="N50" i="1" s="1"/>
  <c r="N56" i="1" s="1"/>
  <c r="N59" i="1" s="1"/>
  <c r="N71" i="1" s="1"/>
  <c r="N72" i="1" l="1"/>
  <c r="O77" i="1"/>
  <c r="O78" i="1" s="1"/>
  <c r="O80" i="1" s="1"/>
  <c r="O72" i="1"/>
  <c r="O83" i="1" l="1"/>
  <c r="O85" i="1" s="1"/>
  <c r="F5" i="1" s="1"/>
  <c r="F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Aitor BERNAL</author>
  </authors>
  <commentList>
    <comment ref="J12" authorId="0" shapeId="0" xr:uid="{931E7936-4DA3-4AC7-9E2E-82535021EBE7}">
      <text>
        <r>
          <rPr>
            <b/>
            <sz val="9"/>
            <color indexed="81"/>
            <rFont val="Tahoma"/>
            <family val="2"/>
          </rPr>
          <t>Aitor BERNAL:</t>
        </r>
        <r>
          <rPr>
            <sz val="9"/>
            <color indexed="81"/>
            <rFont val="Tahoma"/>
            <family val="2"/>
          </rPr>
          <t xml:space="preserve">
Aproximación sacada del comunicado a inversores del ultimo quarter
</t>
        </r>
      </text>
    </comment>
    <comment ref="J18" authorId="0" shapeId="0" xr:uid="{E0A23621-46F4-4587-8950-BE515459BEF7}">
      <text>
        <r>
          <rPr>
            <b/>
            <sz val="9"/>
            <color indexed="81"/>
            <rFont val="Tahoma"/>
            <family val="2"/>
          </rPr>
          <t>Aitor BERNAL:</t>
        </r>
        <r>
          <rPr>
            <sz val="9"/>
            <color indexed="81"/>
            <rFont val="Tahoma"/>
            <family val="2"/>
          </rPr>
          <t xml:space="preserve">
Tu escenario actual. Tipos algo más altos (Rf ↑), ERP ↑, beta ~ 1,2–1,3. Mayor incertidumbre macro o caída del crudo.</t>
        </r>
      </text>
    </comment>
    <comment ref="O18" authorId="0" shapeId="0" xr:uid="{D944A0A2-4CDD-4110-821C-53712DEA6F71}">
      <text>
        <r>
          <rPr>
            <b/>
            <sz val="9"/>
            <color indexed="81"/>
            <rFont val="Tahoma"/>
            <family val="2"/>
          </rPr>
          <t>Aitor BERNAL:</t>
        </r>
        <r>
          <rPr>
            <sz val="9"/>
            <color indexed="81"/>
            <rFont val="Tahoma"/>
            <family val="2"/>
          </rPr>
          <t xml:space="preserve">
Entorno de tipos más bajos (Rf ↓), menor prima de riesgo (ERP ↓), beta ~ 1,0. Mercado más estable, petróleo fuerte, operaciones eficientes.</t>
        </r>
      </text>
    </comment>
    <comment ref="T18" authorId="0" shapeId="0" xr:uid="{EF6B11D1-043F-42BA-B329-7EC892B6B2D3}">
      <text>
        <r>
          <rPr>
            <b/>
            <sz val="9"/>
            <color indexed="81"/>
            <rFont val="Tahoma"/>
            <family val="2"/>
          </rPr>
          <t>Aitor BERNAL:</t>
        </r>
        <r>
          <rPr>
            <sz val="9"/>
            <color indexed="81"/>
            <rFont val="Tahoma"/>
            <family val="2"/>
          </rPr>
          <t xml:space="preserve">
Entorno de tipos más bajos (Rf ↓), menor prima de riesgo (ERP ↓), beta ~ 1,0. Mercado más estable, petróleo fuerte, operaciones eficientes.</t>
        </r>
      </text>
    </comment>
    <comment ref="O81" authorId="0" shapeId="0" xr:uid="{FB233D84-6A8A-49D4-A3E3-7F347FACB002}">
      <text>
        <r>
          <rPr>
            <b/>
            <sz val="9"/>
            <color indexed="81"/>
            <rFont val="Tahoma"/>
            <family val="2"/>
          </rPr>
          <t>Aitor BERNAL:</t>
        </r>
        <r>
          <rPr>
            <sz val="9"/>
            <color indexed="81"/>
            <rFont val="Tahoma"/>
            <family val="2"/>
          </rPr>
          <t xml:space="preserve">
page 25 10 k</t>
        </r>
      </text>
    </comment>
    <comment ref="T81" authorId="0" shapeId="0" xr:uid="{8F045A04-F1CF-4D42-94BF-5F5E195A295F}">
      <text>
        <r>
          <rPr>
            <b/>
            <sz val="9"/>
            <color indexed="81"/>
            <rFont val="Tahoma"/>
            <family val="2"/>
          </rPr>
          <t>Aitor BERNAL:</t>
        </r>
        <r>
          <rPr>
            <sz val="9"/>
            <color indexed="81"/>
            <rFont val="Tahoma"/>
            <family val="2"/>
          </rPr>
          <t xml:space="preserve">
meter la deuda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Aitor BERNAL</author>
  </authors>
  <commentList>
    <comment ref="F11" authorId="0" shapeId="0" xr:uid="{6E2C75B2-7221-4EF4-83D4-AB95C3415A67}">
      <text>
        <r>
          <rPr>
            <b/>
            <sz val="9"/>
            <color indexed="81"/>
            <rFont val="Tahoma"/>
            <family val="2"/>
          </rPr>
          <t>Aitor BERNAL:</t>
        </r>
        <r>
          <rPr>
            <sz val="9"/>
            <color indexed="81"/>
            <rFont val="Tahoma"/>
            <family val="2"/>
          </rPr>
          <t xml:space="preserve">
Treasury 10 y </t>
        </r>
      </text>
    </comment>
    <comment ref="F12" authorId="0" shapeId="0" xr:uid="{728F61CB-A4DF-436E-9ABE-F7BF845E90DB}">
      <text>
        <r>
          <rPr>
            <b/>
            <sz val="9"/>
            <color indexed="81"/>
            <rFont val="Tahoma"/>
            <family val="2"/>
          </rPr>
          <t>Aitor BERNAL:</t>
        </r>
        <r>
          <rPr>
            <sz val="9"/>
            <color indexed="81"/>
            <rFont val="Tahoma"/>
            <family val="2"/>
          </rPr>
          <t xml:space="preserve">
Promedio sectorial Oil&amp;Gas</t>
        </r>
      </text>
    </comment>
    <comment ref="F13" authorId="0" shapeId="0" xr:uid="{AA99D572-67C2-4BA9-ABBA-5B2FBD2E054B}">
      <text>
        <r>
          <rPr>
            <b/>
            <sz val="9"/>
            <color indexed="81"/>
            <rFont val="Tahoma"/>
            <family val="2"/>
          </rPr>
          <t>Aitor BERNAL:</t>
        </r>
        <r>
          <rPr>
            <sz val="9"/>
            <color indexed="81"/>
            <rFont val="Tahoma"/>
            <family val="2"/>
          </rPr>
          <t xml:space="preserve">
https://pages.stern.nyu.edu/~adamodar/New_Home_Page/datafile/histimpl.html?utm_source=chatgpt.com</t>
        </r>
      </text>
    </comment>
    <comment ref="F15" authorId="0" shapeId="0" xr:uid="{5AA29114-AB76-40C8-93B3-837F40F4E2DD}">
      <text>
        <r>
          <rPr>
            <b/>
            <sz val="9"/>
            <color indexed="81"/>
            <rFont val="Tahoma"/>
            <family val="2"/>
          </rPr>
          <t>Aitor BERNAL:</t>
        </r>
        <r>
          <rPr>
            <sz val="9"/>
            <color indexed="81"/>
            <rFont val="Tahoma"/>
            <family val="2"/>
          </rPr>
          <t xml:space="preserve">
pag 35 10q Q 2 2025</t>
        </r>
      </text>
    </comment>
    <comment ref="F17" authorId="0" shapeId="0" xr:uid="{5C0BBA30-36A7-4274-BD74-836920344D3B}">
      <text>
        <r>
          <rPr>
            <b/>
            <sz val="9"/>
            <color indexed="81"/>
            <rFont val="Tahoma"/>
            <family val="2"/>
          </rPr>
          <t>Aitor BERNAL:</t>
        </r>
        <r>
          <rPr>
            <sz val="9"/>
            <color indexed="81"/>
            <rFont val="Tahoma"/>
            <family val="2"/>
          </rPr>
          <t xml:space="preserve">
10 k pag 33 total debt &amp; interest expense pag 77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Aitor BERNAL</author>
  </authors>
  <commentList>
    <comment ref="E7" authorId="0" shapeId="0" xr:uid="{82DA6E73-D60A-42C2-95E3-09AB956CC1FF}">
      <text>
        <r>
          <rPr>
            <b/>
            <sz val="9"/>
            <color indexed="81"/>
            <rFont val="Tahoma"/>
            <family val="2"/>
          </rPr>
          <t>Aitor BERNAL:</t>
        </r>
        <r>
          <rPr>
            <sz val="9"/>
            <color indexed="81"/>
            <rFont val="Tahoma"/>
            <family val="2"/>
          </rPr>
          <t xml:space="preserve">
10 K pag 33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12A048-BCEB-4340-B799-5F3D746F1DA1}" keepAlive="1" name="Consulta - cash-flow-statement?symbol=XOM&amp;apikey=1hHlVrybFSY5JvDKRGGC351WpISPRA1x" description="Conexión a la consulta 'cash-flow-statement?symbol=XOM&amp;apikey=1hHlVrybFSY5JvDKRGGC351WpISPRA1x' en el libro." type="5" refreshedVersion="8" background="1" saveData="1">
    <dbPr connection="Provider=Microsoft.Mashup.OleDb.1;Data Source=$Workbook$;Location=&quot;cash-flow-statement?symbol=XOM&amp;apikey=1hHlVrybFSY5JvDKRGGC351WpISPRA1x&quot;;Extended Properties=&quot;&quot;" command="SELECT * FROM [cash-flow-statement?symbol=XOM&amp;apikey=1hHlVrybFSY5JvDKRGGC351WpISPRA1x]"/>
  </connection>
  <connection id="2" xr16:uid="{CCB2D970-8CF8-40D1-9B6D-C186FFFCEAB5}" keepAlive="1" name="Consulta - Consulta1" description="Conexión a la consulta 'Consulta1' en el libro." type="5" refreshedVersion="0" background="1" saveData="1">
    <dbPr connection="Provider=Microsoft.Mashup.OleDb.1;Data Source=$Workbook$;Location=Consulta1;Extended Properties=&quot;&quot;" command="SELECT * FROM [Consulta1]"/>
  </connection>
  <connection id="3" xr16:uid="{2F3728BE-C811-48FA-A87F-12E3E522712C}" keepAlive="1" name="Consulta - income-statement?symbol=AAPL&amp;apikey=1hHlVrybFSY5JvDKRGGC351WpISPRA1x" description="Conexión a la consulta 'income-statement?symbol=AAPL&amp;apikey=1hHlVrybFSY5JvDKRGGC351WpISPRA1x' en el libro." type="5" refreshedVersion="8" background="1" saveData="1">
    <dbPr connection="Provider=Microsoft.Mashup.OleDb.1;Data Source=$Workbook$;Location=&quot;income-statement?symbol=AAPL&amp;apikey=1hHlVrybFSY5JvDKRGGC351WpISPRA1x&quot;;Extended Properties=&quot;&quot;" command="SELECT * FROM [income-statement?symbol=AAPL&amp;apikey=1hHlVrybFSY5JvDKRGGC351WpISPRA1x]"/>
  </connection>
</connections>
</file>

<file path=xl/sharedStrings.xml><?xml version="1.0" encoding="utf-8"?>
<sst xmlns="http://schemas.openxmlformats.org/spreadsheetml/2006/main" count="452" uniqueCount="279">
  <si>
    <t>EBIT</t>
  </si>
  <si>
    <t>Cover</t>
  </si>
  <si>
    <t>x</t>
  </si>
  <si>
    <t>Agenda</t>
  </si>
  <si>
    <t>2. Trading Comps</t>
  </si>
  <si>
    <t>3. Street-Based DCF</t>
  </si>
  <si>
    <t>4. Calculating Diluted Share Count</t>
  </si>
  <si>
    <t>5. WACC, Mid-Year Convention</t>
  </si>
  <si>
    <t>Situation Overview</t>
  </si>
  <si>
    <t>The Bull Case</t>
  </si>
  <si>
    <t>The Bear Case</t>
  </si>
  <si>
    <t>WACC</t>
  </si>
  <si>
    <t>WACC = % of equity x cost of equity + % of debt x cost of debt x (1 - Tax Rate)</t>
  </si>
  <si>
    <t>Cost of equity = Risk free rate + Beta x Market Risk Premium</t>
  </si>
  <si>
    <t>Market Cap</t>
  </si>
  <si>
    <t>% of Equity</t>
  </si>
  <si>
    <t>Cost of Equity</t>
  </si>
  <si>
    <t>Risk Free Rate</t>
  </si>
  <si>
    <t>Beta</t>
  </si>
  <si>
    <t>Market Risk Premium</t>
  </si>
  <si>
    <t>Debt</t>
  </si>
  <si>
    <t>% of Debt</t>
  </si>
  <si>
    <t>Cost of Debt</t>
  </si>
  <si>
    <t>Tax Rate</t>
  </si>
  <si>
    <t>Total</t>
  </si>
  <si>
    <t>Diluted Share Count Calculation</t>
  </si>
  <si>
    <t>Full Diluted Shares</t>
  </si>
  <si>
    <t>Current price</t>
  </si>
  <si>
    <t>Basic shares outstanding (latest filing)</t>
  </si>
  <si>
    <t>In-the-money exercisable options</t>
  </si>
  <si>
    <t>Total proceeds ($mm)</t>
  </si>
  <si>
    <t>Total shares repurchased (mm)</t>
  </si>
  <si>
    <t>Net dilutive options</t>
  </si>
  <si>
    <t>RSUs</t>
  </si>
  <si>
    <t>PSUs</t>
  </si>
  <si>
    <t>Net diluted shares outstanding</t>
  </si>
  <si>
    <t>Options outstanding</t>
  </si>
  <si>
    <t>Outstanding</t>
  </si>
  <si>
    <t>Exercise price</t>
  </si>
  <si>
    <t>Dilutive Shares</t>
  </si>
  <si>
    <t>6. Price discussion</t>
  </si>
  <si>
    <t>DCF</t>
  </si>
  <si>
    <t>Ticker</t>
  </si>
  <si>
    <t>Date</t>
  </si>
  <si>
    <t>Year End</t>
  </si>
  <si>
    <t>Assumptions</t>
  </si>
  <si>
    <t>Switches</t>
  </si>
  <si>
    <t>Conservative</t>
  </si>
  <si>
    <t>Base</t>
  </si>
  <si>
    <t>Optimistic</t>
  </si>
  <si>
    <t>Year</t>
  </si>
  <si>
    <t>Metric</t>
  </si>
  <si>
    <t>Revenue</t>
  </si>
  <si>
    <t>TGR</t>
  </si>
  <si>
    <t>Valuation</t>
  </si>
  <si>
    <t>% growth</t>
  </si>
  <si>
    <t>% of sales</t>
  </si>
  <si>
    <t>Taxes</t>
  </si>
  <si>
    <t>Tax rate</t>
  </si>
  <si>
    <t>D&amp;A</t>
  </si>
  <si>
    <t>CapEx</t>
  </si>
  <si>
    <t>Change in NWC</t>
  </si>
  <si>
    <t>% of change in sales</t>
  </si>
  <si>
    <t>Base (Street)</t>
  </si>
  <si>
    <t>EBIAT</t>
  </si>
  <si>
    <t>Unlevered FCF</t>
  </si>
  <si>
    <t>Terminal Value</t>
  </si>
  <si>
    <t>Enterprise Value</t>
  </si>
  <si>
    <t>(-) Debt</t>
  </si>
  <si>
    <t>(+) Cash</t>
  </si>
  <si>
    <t>Equity Value</t>
  </si>
  <si>
    <t>FDSO</t>
  </si>
  <si>
    <t>Implied Price per Share</t>
  </si>
  <si>
    <t>'26 - '29</t>
  </si>
  <si>
    <t>Current Stock Price</t>
  </si>
  <si>
    <t>Implied Share Price</t>
  </si>
  <si>
    <t>Upside / (Downside)</t>
  </si>
  <si>
    <t>USD</t>
  </si>
  <si>
    <t>2024</t>
  </si>
  <si>
    <t>FY</t>
  </si>
  <si>
    <t>2023</t>
  </si>
  <si>
    <t>2022</t>
  </si>
  <si>
    <t>2021</t>
  </si>
  <si>
    <t>2020</t>
  </si>
  <si>
    <t>date</t>
  </si>
  <si>
    <t>symbol</t>
  </si>
  <si>
    <t>reportedCurrency</t>
  </si>
  <si>
    <t>cik</t>
  </si>
  <si>
    <t>filingDate</t>
  </si>
  <si>
    <t>acceptedDate</t>
  </si>
  <si>
    <t>fiscalYear</t>
  </si>
  <si>
    <t>period</t>
  </si>
  <si>
    <t>revenue</t>
  </si>
  <si>
    <t>costOfRevenue</t>
  </si>
  <si>
    <t>grossProfit</t>
  </si>
  <si>
    <t>researchAndDevelopmentExpenses</t>
  </si>
  <si>
    <t>generalAndAdministrativeExpenses</t>
  </si>
  <si>
    <t>sellingAndMarketingExpenses</t>
  </si>
  <si>
    <t>sellingGeneralAndAdministrativeExpenses</t>
  </si>
  <si>
    <t>otherExpenses</t>
  </si>
  <si>
    <t>operatingExpenses</t>
  </si>
  <si>
    <t>costAndExpenses</t>
  </si>
  <si>
    <t>netInterestIncome</t>
  </si>
  <si>
    <t>interestIncome</t>
  </si>
  <si>
    <t>interestExpense</t>
  </si>
  <si>
    <t>depreciationAndAmortization</t>
  </si>
  <si>
    <t>ebitda</t>
  </si>
  <si>
    <t>ebit</t>
  </si>
  <si>
    <t>nonOperatingIncomeExcludingInterest</t>
  </si>
  <si>
    <t>operatingIncome</t>
  </si>
  <si>
    <t>totalOtherIncomeExpensesNet</t>
  </si>
  <si>
    <t>incomeBeforeTax</t>
  </si>
  <si>
    <t>incomeTaxExpense</t>
  </si>
  <si>
    <t>netIncomeFromContinuingOperations</t>
  </si>
  <si>
    <t>netIncomeFromDiscontinuedOperations</t>
  </si>
  <si>
    <t>otherAdjustmentsToNetIncome</t>
  </si>
  <si>
    <t>netIncome</t>
  </si>
  <si>
    <t>netIncomeDeductions</t>
  </si>
  <si>
    <t>bottomLineNetIncome</t>
  </si>
  <si>
    <t>eps</t>
  </si>
  <si>
    <t>epsDiluted</t>
  </si>
  <si>
    <t>weightedAverageShsOut</t>
  </si>
  <si>
    <t>weightedAverageShsOutDil</t>
  </si>
  <si>
    <t>2024-12-31</t>
  </si>
  <si>
    <t>XOM</t>
  </si>
  <si>
    <t>0000034088</t>
  </si>
  <si>
    <t>2025-02-19</t>
  </si>
  <si>
    <t>2025-02-19 16:39:37</t>
  </si>
  <si>
    <t>2023-12-31</t>
  </si>
  <si>
    <t>2024-02-28</t>
  </si>
  <si>
    <t>2024-02-28 09:37:18</t>
  </si>
  <si>
    <t>2022-12-31</t>
  </si>
  <si>
    <t>2023-02-22</t>
  </si>
  <si>
    <t>2023-02-22 16:37:14</t>
  </si>
  <si>
    <t>2021-12-31</t>
  </si>
  <si>
    <t>2022-02-23</t>
  </si>
  <si>
    <t>2022-02-23 16:11:16</t>
  </si>
  <si>
    <t>2020-12-31</t>
  </si>
  <si>
    <t>2021-02-24</t>
  </si>
  <si>
    <t>2021-02-24 17:01:02</t>
  </si>
  <si>
    <t>GrossMargin</t>
  </si>
  <si>
    <t>% TAXES</t>
  </si>
  <si>
    <t>deferredIncomeTax</t>
  </si>
  <si>
    <t>stockBasedCompensation</t>
  </si>
  <si>
    <t>changeInWorkingCapital</t>
  </si>
  <si>
    <t>accountsReceivables</t>
  </si>
  <si>
    <t>inventory</t>
  </si>
  <si>
    <t>accountsPayables</t>
  </si>
  <si>
    <t>otherWorkingCapital</t>
  </si>
  <si>
    <t>otherNonCashItems</t>
  </si>
  <si>
    <t>netCashProvidedByOperatingActivities</t>
  </si>
  <si>
    <t>investmentsInPropertyPlantAndEquipment</t>
  </si>
  <si>
    <t>acquisitionsNet</t>
  </si>
  <si>
    <t>purchasesOfInvestments</t>
  </si>
  <si>
    <t>salesMaturitiesOfInvestments</t>
  </si>
  <si>
    <t>otherInvestingActivities</t>
  </si>
  <si>
    <t>netCashProvidedByInvestingActivities</t>
  </si>
  <si>
    <t>netDebtIssuance</t>
  </si>
  <si>
    <t>longTermNetDebtIssuance</t>
  </si>
  <si>
    <t>shortTermNetDebtIssuance</t>
  </si>
  <si>
    <t>netStockIssuance</t>
  </si>
  <si>
    <t>netCommonStockIssuance</t>
  </si>
  <si>
    <t>commonStockIssuance</t>
  </si>
  <si>
    <t>commonStockRepurchased</t>
  </si>
  <si>
    <t>netPreferredStockIssuance</t>
  </si>
  <si>
    <t>netDividendsPaid</t>
  </si>
  <si>
    <t>commonDividendsPaid</t>
  </si>
  <si>
    <t>preferredDividendsPaid</t>
  </si>
  <si>
    <t>otherFinancingActivities</t>
  </si>
  <si>
    <t>netCashProvidedByFinancingActivities</t>
  </si>
  <si>
    <t>effectOfForexChangesOnCash</t>
  </si>
  <si>
    <t>netChangeInCash</t>
  </si>
  <si>
    <t>cashAtEndOfPeriod</t>
  </si>
  <si>
    <t>cashAtBeginningOfPeriod</t>
  </si>
  <si>
    <t>operatingCashFlow</t>
  </si>
  <si>
    <t>capitalExpenditure</t>
  </si>
  <si>
    <t>freeCashFlow</t>
  </si>
  <si>
    <t>incomeTaxesPaid</t>
  </si>
  <si>
    <t>interestPaid</t>
  </si>
  <si>
    <t>Capex</t>
  </si>
  <si>
    <t>'25</t>
  </si>
  <si>
    <t>PV of Unlevered FCF</t>
  </si>
  <si>
    <t>Period</t>
  </si>
  <si>
    <t>Discount Period</t>
  </si>
  <si>
    <t>PV of Terminal Value</t>
  </si>
  <si>
    <t>Income Statement (12/31, USD  Billion)</t>
  </si>
  <si>
    <t>M $</t>
  </si>
  <si>
    <t>DCF (12/31, USD Billion )</t>
  </si>
  <si>
    <t>Cash Flow Items (12/31, USD Billion )</t>
  </si>
  <si>
    <t>1. Exxon Mobil  Situation Overview</t>
  </si>
  <si>
    <r>
      <t xml:space="preserve">1. Global leader in integrated energy with a dominant position across </t>
    </r>
    <r>
      <rPr>
        <b/>
        <sz val="11"/>
        <color theme="1"/>
        <rFont val="Calibri"/>
        <family val="2"/>
        <scheme val="minor"/>
      </rPr>
      <t>Upstream, Downstream, and Chemicals</t>
    </r>
    <r>
      <rPr>
        <sz val="11"/>
        <color theme="1"/>
        <rFont val="Calibri"/>
        <family val="2"/>
        <scheme val="minor"/>
      </rPr>
      <t>, ensuring diversification and resilience through the cycle.</t>
    </r>
  </si>
  <si>
    <r>
      <t xml:space="preserve">4. Structural tailwinds from </t>
    </r>
    <r>
      <rPr>
        <b/>
        <sz val="11"/>
        <color theme="1"/>
        <rFont val="Calibri"/>
        <family val="2"/>
        <scheme val="minor"/>
      </rPr>
      <t>tight global supply</t>
    </r>
    <r>
      <rPr>
        <sz val="11"/>
        <color theme="1"/>
        <rFont val="Calibri"/>
        <family val="2"/>
        <scheme val="minor"/>
      </rPr>
      <t>, underinvestment in oil &amp; gas, and growing demand in petrochemicals could keep Brent prices elevated above mid-cycle levels.</t>
    </r>
  </si>
  <si>
    <r>
      <t xml:space="preserve">3. Elevated </t>
    </r>
    <r>
      <rPr>
        <b/>
        <sz val="11"/>
        <color theme="1"/>
        <rFont val="Calibri"/>
        <family val="2"/>
        <scheme val="minor"/>
      </rPr>
      <t>valuation vs. historical mid-cycle levels</t>
    </r>
    <r>
      <rPr>
        <sz val="11"/>
        <color theme="1"/>
        <rFont val="Calibri"/>
        <family val="2"/>
        <scheme val="minor"/>
      </rPr>
      <t>; DCF upside largely dependent on sustained Brent &gt;$80/bbl and 15%+ EBIT margins, which may not persist.</t>
    </r>
  </si>
  <si>
    <r>
      <t xml:space="preserve">5. Increasing competition and policy incentives accelerating the shift toward renewables could </t>
    </r>
    <r>
      <rPr>
        <b/>
        <sz val="11"/>
        <color theme="1"/>
        <rFont val="Calibri"/>
        <family val="2"/>
        <scheme val="minor"/>
      </rPr>
      <t>erode long-term terminal growth</t>
    </r>
    <r>
      <rPr>
        <sz val="11"/>
        <color theme="1"/>
        <rFont val="Calibri"/>
        <family val="2"/>
        <scheme val="minor"/>
      </rPr>
      <t xml:space="preserve"> assumptions.</t>
    </r>
  </si>
  <si>
    <r>
      <rPr>
        <sz val="11"/>
        <color theme="1"/>
        <rFont val="Calibri"/>
        <family val="2"/>
        <scheme val="minor"/>
      </rPr>
      <t>2.</t>
    </r>
    <r>
      <rPr>
        <b/>
        <sz val="11"/>
        <color theme="1"/>
        <rFont val="Calibri"/>
        <family val="2"/>
        <scheme val="minor"/>
      </rPr>
      <t xml:space="preserve"> Record free cash flow generation</t>
    </r>
    <r>
      <rPr>
        <sz val="11"/>
        <color theme="1"/>
        <rFont val="Calibri"/>
        <family val="2"/>
        <scheme val="minor"/>
      </rPr>
      <t xml:space="preserve"> post-2022, supported by disciplined capital spending, efficiency gains, and portfolio optimization (Permian, Guyana, LNG).</t>
    </r>
  </si>
  <si>
    <r>
      <rPr>
        <sz val="11"/>
        <color theme="1"/>
        <rFont val="Calibri"/>
        <family val="2"/>
        <scheme val="minor"/>
      </rPr>
      <t xml:space="preserve">3. </t>
    </r>
    <r>
      <rPr>
        <b/>
        <sz val="11"/>
        <color theme="1"/>
        <rFont val="Calibri"/>
        <family val="2"/>
        <scheme val="minor"/>
      </rPr>
      <t>Strong shareholder returns</t>
    </r>
    <r>
      <rPr>
        <sz val="11"/>
        <color theme="1"/>
        <rFont val="Calibri"/>
        <family val="2"/>
        <scheme val="minor"/>
      </rPr>
      <t xml:space="preserve"> policy via consistent dividends (over 40 consecutive years of increases) and an ongoing $50bn share repurchase program through 2025.</t>
    </r>
  </si>
  <si>
    <r>
      <rPr>
        <sz val="11"/>
        <color theme="1"/>
        <rFont val="Calibri"/>
        <family val="2"/>
        <scheme val="minor"/>
      </rPr>
      <t>5.</t>
    </r>
    <r>
      <rPr>
        <b/>
        <sz val="11"/>
        <color theme="1"/>
        <rFont val="Calibri"/>
        <family val="2"/>
        <scheme val="minor"/>
      </rPr>
      <t xml:space="preserve"> Balance sheet strength</t>
    </r>
    <r>
      <rPr>
        <sz val="11"/>
        <color theme="1"/>
        <rFont val="Calibri"/>
        <family val="2"/>
        <scheme val="minor"/>
      </rPr>
      <t xml:space="preserve"> (net debt &lt;15% of capital employed) provides optionality for further buybacks or accretive low-carbon investments.</t>
    </r>
  </si>
  <si>
    <r>
      <rPr>
        <sz val="11"/>
        <color theme="1"/>
        <rFont val="Calibri"/>
        <family val="2"/>
        <scheme val="minor"/>
      </rPr>
      <t>1.</t>
    </r>
    <r>
      <rPr>
        <b/>
        <sz val="11"/>
        <color theme="1"/>
        <rFont val="Calibri"/>
        <family val="2"/>
        <scheme val="minor"/>
      </rPr>
      <t xml:space="preserve"> Highly cyclical earnings</t>
    </r>
    <r>
      <rPr>
        <sz val="11"/>
        <color theme="1"/>
        <rFont val="Calibri"/>
        <family val="2"/>
        <scheme val="minor"/>
      </rPr>
      <t>—profits remain heavily exposed to oil and gas price volatility despite diversification.</t>
    </r>
  </si>
  <si>
    <r>
      <rPr>
        <sz val="11"/>
        <color theme="1"/>
        <rFont val="Calibri"/>
        <family val="2"/>
        <scheme val="minor"/>
      </rPr>
      <t xml:space="preserve">2. </t>
    </r>
    <r>
      <rPr>
        <b/>
        <sz val="11"/>
        <color theme="1"/>
        <rFont val="Calibri"/>
        <family val="2"/>
        <scheme val="minor"/>
      </rPr>
      <t>Energy transition and ESG pressure</t>
    </r>
    <r>
      <rPr>
        <sz val="11"/>
        <color theme="1"/>
        <rFont val="Calibri"/>
        <family val="2"/>
        <scheme val="minor"/>
      </rPr>
      <t>: regulatory risks, potential carbon taxes, and long-term demand uncertainty may drive valuation multiple compression.</t>
    </r>
  </si>
  <si>
    <r>
      <rPr>
        <sz val="11"/>
        <color theme="1"/>
        <rFont val="Calibri"/>
        <family val="2"/>
        <scheme val="minor"/>
      </rPr>
      <t>4.</t>
    </r>
    <r>
      <rPr>
        <b/>
        <sz val="11"/>
        <color theme="1"/>
        <rFont val="Calibri"/>
        <family val="2"/>
        <scheme val="minor"/>
      </rPr>
      <t xml:space="preserve"> Capital-intensive business</t>
    </r>
    <r>
      <rPr>
        <sz val="11"/>
        <color theme="1"/>
        <rFont val="Calibri"/>
        <family val="2"/>
        <scheme val="minor"/>
      </rPr>
      <t>: high reinvestment needs to sustain production, with limited flexibility if prices normalize.</t>
    </r>
  </si>
  <si>
    <t>CVX</t>
  </si>
  <si>
    <t>SHEL</t>
  </si>
  <si>
    <t>BP</t>
  </si>
  <si>
    <t>TTE</t>
  </si>
  <si>
    <t>EQNR</t>
  </si>
  <si>
    <t>E</t>
  </si>
  <si>
    <t>Exxon Mobil</t>
  </si>
  <si>
    <t>Chevron</t>
  </si>
  <si>
    <t>Current</t>
  </si>
  <si>
    <t>Share</t>
  </si>
  <si>
    <t>Enterprise</t>
  </si>
  <si>
    <t>Market</t>
  </si>
  <si>
    <t>EBITDA</t>
  </si>
  <si>
    <t>Net Income</t>
  </si>
  <si>
    <t>Revenue Growth</t>
  </si>
  <si>
    <t>EBITDA Margin</t>
  </si>
  <si>
    <t>Profit Margin</t>
  </si>
  <si>
    <t>EV / Revenue</t>
  </si>
  <si>
    <t>EV / EBITDA</t>
  </si>
  <si>
    <t>P / E</t>
  </si>
  <si>
    <t>Company Name</t>
  </si>
  <si>
    <t>Price</t>
  </si>
  <si>
    <t>Count</t>
  </si>
  <si>
    <t>Value</t>
  </si>
  <si>
    <t>Cap</t>
  </si>
  <si>
    <t>'23</t>
  </si>
  <si>
    <t>'24</t>
  </si>
  <si>
    <t>'22-'23</t>
  </si>
  <si>
    <t>'23-'24</t>
  </si>
  <si>
    <t>Mean</t>
  </si>
  <si>
    <t>Median</t>
  </si>
  <si>
    <t>2024 Trading Multiple</t>
  </si>
  <si>
    <t>2024 Financial Metric</t>
  </si>
  <si>
    <t>Calculating Implied Share Price</t>
  </si>
  <si>
    <t>P/E</t>
  </si>
  <si>
    <t>EPS</t>
  </si>
  <si>
    <t>Cash</t>
  </si>
  <si>
    <t>Shares</t>
  </si>
  <si>
    <t>Minimum</t>
  </si>
  <si>
    <t>Maximum</t>
  </si>
  <si>
    <t>Shell plc (ADR)</t>
  </si>
  <si>
    <t>BP plc (ADR)</t>
  </si>
  <si>
    <t>TotalEnergies (ADR)</t>
  </si>
  <si>
    <t>Equinor (ADR)</t>
  </si>
  <si>
    <t>Eni (ADR)</t>
  </si>
  <si>
    <t>SU</t>
  </si>
  <si>
    <t>Suncor Energy</t>
  </si>
  <si>
    <t>Por qué estos sí son comparables (y por qué los otros no)</t>
  </si>
  <si>
    <r>
      <t>Modelo integrado</t>
    </r>
    <r>
      <rPr>
        <sz val="11"/>
        <color theme="1"/>
        <rFont val="Calibri"/>
        <family val="2"/>
        <scheme val="minor"/>
      </rPr>
      <t xml:space="preserve"> (upstream + refino/química + trading/LNG): CVX, SHEL, BP, TTE, EQNR, E y </t>
    </r>
    <r>
      <rPr>
        <b/>
        <sz val="11"/>
        <color theme="1"/>
        <rFont val="Calibri"/>
        <family val="2"/>
        <scheme val="minor"/>
      </rPr>
      <t>Suncor</t>
    </r>
    <r>
      <rPr>
        <sz val="11"/>
        <color theme="1"/>
        <rFont val="Calibri"/>
        <family val="2"/>
        <scheme val="minor"/>
      </rPr>
      <t xml:space="preserve"> (integrado con peso en oil sands) se parecen operativamente a Exxon: diversificación de márgenes entre petróleo, gas, refino y comercialización.</t>
    </r>
  </si>
  <si>
    <r>
      <t>Escala y capex</t>
    </r>
    <r>
      <rPr>
        <sz val="11"/>
        <color theme="1"/>
        <rFont val="Calibri"/>
        <family val="2"/>
        <scheme val="minor"/>
      </rPr>
      <t>: mega-cap o large-cap globales, proyectos multi-año, ciclo de inversión y balance (apalancamiento bajo/medio) parecidos a XOM.</t>
    </r>
  </si>
  <si>
    <r>
      <t>Exposición macro</t>
    </r>
    <r>
      <rPr>
        <sz val="11"/>
        <color theme="1"/>
        <rFont val="Calibri"/>
        <family val="2"/>
        <scheme val="minor"/>
      </rPr>
      <t>: mismas palancas (Brent/Henry Hub, márgenes de refino, cracks de diésel/nafta, spreads LNG, trading).</t>
    </r>
  </si>
  <si>
    <r>
      <t>Política de capital</t>
    </r>
    <r>
      <rPr>
        <sz val="11"/>
        <color theme="1"/>
        <rFont val="Calibri"/>
        <family val="2"/>
        <scheme val="minor"/>
      </rPr>
      <t>: dividendos base + buybacks cíclicos; planes de reducción de carbono parecidos en ambición y timing.</t>
    </r>
  </si>
  <si>
    <t>Por qué no eran comparables los que pusiste antes:</t>
  </si>
  <si>
    <r>
      <t>E&amp;P puros (FANG, EOG, COP)</t>
    </r>
    <r>
      <rPr>
        <sz val="11"/>
        <color theme="1"/>
        <rFont val="Calibri"/>
        <family val="2"/>
        <scheme val="minor"/>
      </rPr>
      <t xml:space="preserve"> → casi todo upstream, beta a precios de crudo/gas sin el “hedge” del downstream/LNG.</t>
    </r>
  </si>
  <si>
    <r>
      <t>Refineras puras (VLO, PSX)</t>
    </r>
    <r>
      <rPr>
        <sz val="11"/>
        <color theme="1"/>
        <rFont val="Calibri"/>
        <family val="2"/>
        <scheme val="minor"/>
      </rPr>
      <t xml:space="preserve"> → dependen sobre todo de márgenes de refino y no de precios de crudo.</t>
    </r>
  </si>
  <si>
    <r>
      <t>Midstream (EPD)</t>
    </r>
    <r>
      <rPr>
        <sz val="11"/>
        <color theme="1"/>
        <rFont val="Calibri"/>
        <family val="2"/>
        <scheme val="minor"/>
      </rPr>
      <t xml:space="preserve"> → negocio de tarifas/volúmenes con riesgo/retornos distintos (MLP).</t>
    </r>
  </si>
  <si>
    <t>Fuentes (principales)</t>
  </si>
  <si>
    <t>Revenue / EBITDA / Net income por compañía (2022–2024): Macrotrends para CVX, SHEL, BP, TTE, EQNR, ENI, SU (páginas de cada métrica/compañía). Ejemplos: CVX EBITDA 2023/24 y NI 2023/24; SHEL revenue 2022–24; BP revenue 2022–24; TTE revenue 2022–24 y NI 2024; EQNR EBITDA/NI 2023–24; ENI revenue/NI 2023–24; SU revenue/EBITDA/NI 2023–24. Macrotrends+15Macrotrends+15Macrotrends+15</t>
  </si>
  <si>
    <t>Precios recientes: MarketWatch/Yahoo (páginas de cotización). Yahoo Finanzas+6MarketWatch+6Yahoo Finanzas+6</t>
  </si>
  <si>
    <t>EV / Market Cap / Shares Outstanding: Yahoo Finance / CompaniesMarketCap. CompaniesMarketCap+17Yahoo Finanzas+17CompaniesMarketCap+17</t>
  </si>
  <si>
    <t>TTM/estimaciones para aproximaciones: TTE EBITDA TTM (Yahoo) y ENI EBITDA TTM (Yahoo). Yahoo Finanzas+1</t>
  </si>
  <si>
    <t>Exom vs comps</t>
  </si>
  <si>
    <t>ND/EBITDA (LTM)</t>
  </si>
  <si>
    <t>ROCE/ROACE FY2024</t>
  </si>
  <si>
    <t>P/FCF (TTM)</t>
  </si>
  <si>
    <t>Enterprise Value (Proxy Multiple)</t>
  </si>
  <si>
    <t>From EV to Equity Value</t>
  </si>
  <si>
    <t>Método</t>
  </si>
  <si>
    <t>Mínimo</t>
  </si>
  <si>
    <t>Mediana</t>
  </si>
  <si>
    <t>Máximo</t>
  </si>
  <si>
    <t>Precedent Transactions</t>
  </si>
  <si>
    <t>Inicio</t>
  </si>
  <si>
    <t>DCF Propio</t>
  </si>
  <si>
    <t>Rango</t>
  </si>
  <si>
    <t>Comps EV/Revenue</t>
  </si>
  <si>
    <t>Comp EV/EBITDA</t>
  </si>
  <si>
    <t>Comps P/E (Net Income)</t>
  </si>
  <si>
    <t>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</si>
</sst>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-* #,##0.00\ &quot;€&quot;_-;\-* #,##0.00\ &quot;€&quot;_-;_-* &quot;-&quot;??\ &quot;€&quot;_-;_-@_-"/>
    <numFmt numFmtId="164" formatCode="0.0%"/>
    <numFmt numFmtId="165" formatCode="0.00000%"/>
    <numFmt numFmtId="166" formatCode="#,##0.000_);\(#,##0.000\)"/>
    <numFmt numFmtId="167" formatCode="#,##0.000_);\(#,##0.000\);@_)"/>
    <numFmt numFmtId="168" formatCode="#,##0.0_);\(#,##0.0\)"/>
    <numFmt numFmtId="169" formatCode="#,##0.0_);\(#,##0.0\);@_)"/>
    <numFmt numFmtId="170" formatCode="&quot;Tranche&quot;\ 0"/>
    <numFmt numFmtId="171" formatCode="0.000"/>
    <numFmt numFmtId="172" formatCode="0.0%;\(0.0%\)"/>
    <numFmt numFmtId="173" formatCode="0\A"/>
    <numFmt numFmtId="174" formatCode="0&quot;E&quot;"/>
    <numFmt numFmtId="175" formatCode="0%;\(0%\)"/>
    <numFmt numFmtId="176" formatCode="&quot;$&quot;#,##0.00"/>
    <numFmt numFmtId="177" formatCode="_-[$$-409]* #,##0.00_ ;_-[$$-409]* \-#,##0.00\ ;_-[$$-409]* &quot;-&quot;??_ ;_-@_ "/>
    <numFmt numFmtId="178" formatCode="0&quot;A&quot;"/>
    <numFmt numFmtId="179" formatCode="0.0"/>
    <numFmt numFmtId="180" formatCode="0.0\x"/>
    <numFmt numFmtId="181" formatCode="_([$$-409]* #,##0.00_);_([$$-409]* \(#,##0.00\);_([$$-409]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33CC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00FF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color rgb="FFC0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4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 val="singleAccounting"/>
      <sz val="12"/>
      <color theme="1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176">
    <xf numFmtId="0" fontId="0" fillId="0" borderId="0" xfId="0"/>
    <xf numFmtId="0" fontId="0" fillId="0" borderId="1" xfId="0" applyBorder="1" applyAlignment="1">
      <alignment horizontal="center"/>
    </xf>
    <xf numFmtId="0" fontId="7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  <xf numFmtId="0" fontId="2" fillId="2" borderId="0" xfId="0" applyFont="1" applyFill="1"/>
    <xf numFmtId="0" fontId="8" fillId="0" borderId="0" xfId="0" applyFont="1"/>
    <xf numFmtId="0" fontId="2" fillId="3" borderId="0" xfId="0" applyFont="1" applyFill="1"/>
    <xf numFmtId="0" fontId="0" fillId="3" borderId="0" xfId="0" applyFill="1"/>
    <xf numFmtId="3" fontId="0" fillId="0" borderId="0" xfId="0" applyNumberFormat="1"/>
    <xf numFmtId="164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10" fontId="0" fillId="4" borderId="2" xfId="0" applyNumberFormat="1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165" fontId="0" fillId="0" borderId="0" xfId="0" applyNumberFormat="1"/>
    <xf numFmtId="3" fontId="0" fillId="4" borderId="2" xfId="0" applyNumberFormat="1" applyFill="1" applyBorder="1" applyAlignment="1">
      <alignment horizontal="right"/>
    </xf>
    <xf numFmtId="0" fontId="0" fillId="0" borderId="0" xfId="0" applyAlignment="1">
      <alignment horizontal="left" indent="1"/>
    </xf>
    <xf numFmtId="0" fontId="2" fillId="2" borderId="0" xfId="0" applyFont="1" applyFill="1" applyAlignment="1">
      <alignment horizontal="left"/>
    </xf>
    <xf numFmtId="0" fontId="4" fillId="2" borderId="0" xfId="0" applyFont="1" applyFill="1" applyAlignment="1">
      <alignment horizontal="centerContinuous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Continuous"/>
    </xf>
    <xf numFmtId="0" fontId="0" fillId="0" borderId="0" xfId="0" applyAlignment="1">
      <alignment horizontal="left"/>
    </xf>
    <xf numFmtId="39" fontId="9" fillId="5" borderId="2" xfId="0" applyNumberFormat="1" applyFont="1" applyFill="1" applyBorder="1" applyAlignment="1">
      <alignment horizontal="right"/>
    </xf>
    <xf numFmtId="39" fontId="0" fillId="0" borderId="0" xfId="0" applyNumberFormat="1"/>
    <xf numFmtId="0" fontId="10" fillId="0" borderId="0" xfId="0" applyFont="1" applyAlignment="1">
      <alignment horizontal="left"/>
    </xf>
    <xf numFmtId="166" fontId="11" fillId="5" borderId="2" xfId="0" applyNumberFormat="1" applyFont="1" applyFill="1" applyBorder="1" applyAlignment="1">
      <alignment horizontal="right"/>
    </xf>
    <xf numFmtId="167" fontId="12" fillId="0" borderId="0" xfId="0" applyNumberFormat="1" applyFont="1"/>
    <xf numFmtId="167" fontId="0" fillId="0" borderId="0" xfId="0" applyNumberFormat="1"/>
    <xf numFmtId="167" fontId="13" fillId="0" borderId="0" xfId="0" applyNumberFormat="1" applyFont="1"/>
    <xf numFmtId="0" fontId="3" fillId="0" borderId="0" xfId="0" applyFont="1" applyAlignment="1">
      <alignment horizontal="left"/>
    </xf>
    <xf numFmtId="168" fontId="0" fillId="0" borderId="0" xfId="0" applyNumberFormat="1"/>
    <xf numFmtId="169" fontId="0" fillId="0" borderId="0" xfId="0" applyNumberFormat="1"/>
    <xf numFmtId="0" fontId="8" fillId="0" borderId="0" xfId="0" applyFont="1" applyAlignment="1">
      <alignment horizontal="right"/>
    </xf>
    <xf numFmtId="170" fontId="0" fillId="0" borderId="0" xfId="0" applyNumberFormat="1" applyAlignment="1">
      <alignment horizontal="left"/>
    </xf>
    <xf numFmtId="39" fontId="11" fillId="5" borderId="2" xfId="0" applyNumberFormat="1" applyFont="1" applyFill="1" applyBorder="1" applyAlignment="1">
      <alignment horizontal="right"/>
    </xf>
    <xf numFmtId="171" fontId="0" fillId="0" borderId="0" xfId="0" applyNumberFormat="1" applyAlignment="1">
      <alignment horizontal="right" indent="1"/>
    </xf>
    <xf numFmtId="170" fontId="0" fillId="0" borderId="1" xfId="0" applyNumberFormat="1" applyBorder="1" applyAlignment="1">
      <alignment horizontal="left"/>
    </xf>
    <xf numFmtId="168" fontId="11" fillId="0" borderId="1" xfId="0" applyNumberFormat="1" applyFont="1" applyBorder="1" applyAlignment="1">
      <alignment horizontal="right"/>
    </xf>
    <xf numFmtId="0" fontId="0" fillId="0" borderId="1" xfId="0" applyBorder="1" applyAlignment="1">
      <alignment horizontal="right" indent="1"/>
    </xf>
    <xf numFmtId="0" fontId="3" fillId="6" borderId="3" xfId="0" applyFont="1" applyFill="1" applyBorder="1"/>
    <xf numFmtId="0" fontId="3" fillId="6" borderId="4" xfId="0" applyFont="1" applyFill="1" applyBorder="1"/>
    <xf numFmtId="171" fontId="3" fillId="6" borderId="5" xfId="0" applyNumberFormat="1" applyFont="1" applyFill="1" applyBorder="1" applyAlignment="1">
      <alignment horizontal="right" indent="1"/>
    </xf>
    <xf numFmtId="14" fontId="0" fillId="4" borderId="2" xfId="0" applyNumberFormat="1" applyFill="1" applyBorder="1"/>
    <xf numFmtId="0" fontId="0" fillId="4" borderId="2" xfId="0" applyFill="1" applyBorder="1" applyAlignment="1">
      <alignment horizontal="center"/>
    </xf>
    <xf numFmtId="0" fontId="2" fillId="7" borderId="0" xfId="0" applyFont="1" applyFill="1"/>
    <xf numFmtId="0" fontId="4" fillId="7" borderId="0" xfId="0" applyFont="1" applyFill="1"/>
    <xf numFmtId="0" fontId="14" fillId="0" borderId="0" xfId="0" applyFont="1"/>
    <xf numFmtId="0" fontId="8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172" fontId="0" fillId="4" borderId="2" xfId="0" applyNumberFormat="1" applyFill="1" applyBorder="1" applyAlignment="1">
      <alignment horizontal="center"/>
    </xf>
    <xf numFmtId="164" fontId="0" fillId="4" borderId="2" xfId="1" applyNumberFormat="1" applyFont="1" applyFill="1" applyBorder="1" applyAlignment="1">
      <alignment horizontal="center"/>
    </xf>
    <xf numFmtId="164" fontId="0" fillId="0" borderId="0" xfId="1" applyNumberFormat="1" applyFont="1" applyFill="1" applyBorder="1" applyAlignment="1">
      <alignment horizontal="center"/>
    </xf>
    <xf numFmtId="173" fontId="2" fillId="2" borderId="0" xfId="0" applyNumberFormat="1" applyFont="1" applyFill="1"/>
    <xf numFmtId="174" fontId="2" fillId="2" borderId="0" xfId="0" applyNumberFormat="1" applyFont="1" applyFill="1"/>
    <xf numFmtId="0" fontId="15" fillId="0" borderId="0" xfId="0" applyFont="1"/>
    <xf numFmtId="37" fontId="16" fillId="0" borderId="0" xfId="0" applyNumberFormat="1" applyFont="1"/>
    <xf numFmtId="0" fontId="17" fillId="0" borderId="0" xfId="0" applyFont="1" applyAlignment="1">
      <alignment horizontal="left" indent="1"/>
    </xf>
    <xf numFmtId="175" fontId="17" fillId="0" borderId="0" xfId="1" applyNumberFormat="1" applyFont="1"/>
    <xf numFmtId="9" fontId="17" fillId="0" borderId="0" xfId="0" quotePrefix="1" applyNumberFormat="1" applyFont="1" applyAlignment="1">
      <alignment horizontal="right"/>
    </xf>
    <xf numFmtId="175" fontId="18" fillId="0" borderId="0" xfId="0" quotePrefix="1" applyNumberFormat="1" applyFont="1" applyAlignment="1">
      <alignment horizontal="right"/>
    </xf>
    <xf numFmtId="0" fontId="15" fillId="0" borderId="0" xfId="0" applyFont="1" applyAlignment="1">
      <alignment horizontal="center"/>
    </xf>
    <xf numFmtId="0" fontId="19" fillId="0" borderId="0" xfId="0" applyFont="1"/>
    <xf numFmtId="37" fontId="20" fillId="0" borderId="0" xfId="0" applyNumberFormat="1" applyFont="1"/>
    <xf numFmtId="1" fontId="20" fillId="0" borderId="0" xfId="0" applyNumberFormat="1" applyFont="1"/>
    <xf numFmtId="0" fontId="17" fillId="0" borderId="0" xfId="0" applyFont="1"/>
    <xf numFmtId="3" fontId="15" fillId="0" borderId="0" xfId="0" applyNumberFormat="1" applyFont="1"/>
    <xf numFmtId="9" fontId="21" fillId="4" borderId="2" xfId="1" applyFont="1" applyFill="1" applyBorder="1" applyAlignment="1">
      <alignment horizontal="right"/>
    </xf>
    <xf numFmtId="9" fontId="17" fillId="4" borderId="2" xfId="1" applyFont="1" applyFill="1" applyBorder="1" applyAlignment="1">
      <alignment horizontal="right"/>
    </xf>
    <xf numFmtId="9" fontId="18" fillId="4" borderId="2" xfId="1" applyFont="1" applyFill="1" applyBorder="1" applyAlignment="1">
      <alignment horizontal="right"/>
    </xf>
    <xf numFmtId="37" fontId="15" fillId="0" borderId="0" xfId="0" applyNumberFormat="1" applyFont="1"/>
    <xf numFmtId="2" fontId="0" fillId="0" borderId="0" xfId="0" applyNumberFormat="1"/>
    <xf numFmtId="14" fontId="0" fillId="0" borderId="0" xfId="0" applyNumberFormat="1"/>
    <xf numFmtId="3" fontId="22" fillId="0" borderId="0" xfId="0" applyNumberFormat="1" applyFont="1"/>
    <xf numFmtId="3" fontId="9" fillId="0" borderId="0" xfId="0" applyNumberFormat="1" applyFont="1"/>
    <xf numFmtId="176" fontId="0" fillId="0" borderId="0" xfId="0" applyNumberFormat="1"/>
    <xf numFmtId="0" fontId="13" fillId="0" borderId="0" xfId="0" applyFont="1"/>
    <xf numFmtId="3" fontId="13" fillId="0" borderId="0" xfId="0" applyNumberFormat="1" applyFont="1"/>
    <xf numFmtId="175" fontId="0" fillId="0" borderId="0" xfId="0" applyNumberFormat="1"/>
    <xf numFmtId="0" fontId="6" fillId="0" borderId="1" xfId="3" applyBorder="1"/>
    <xf numFmtId="177" fontId="0" fillId="0" borderId="0" xfId="4" applyNumberFormat="1" applyFont="1"/>
    <xf numFmtId="9" fontId="0" fillId="0" borderId="0" xfId="1" applyFont="1"/>
    <xf numFmtId="164" fontId="0" fillId="8" borderId="0" xfId="1" applyNumberFormat="1" applyFont="1" applyFill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177" fontId="0" fillId="9" borderId="0" xfId="4" applyNumberFormat="1" applyFont="1" applyFill="1" applyBorder="1"/>
    <xf numFmtId="0" fontId="19" fillId="8" borderId="0" xfId="0" applyFont="1" applyFill="1"/>
    <xf numFmtId="178" fontId="2" fillId="2" borderId="0" xfId="0" applyNumberFormat="1" applyFont="1" applyFill="1"/>
    <xf numFmtId="0" fontId="3" fillId="0" borderId="0" xfId="0" applyFont="1"/>
    <xf numFmtId="9" fontId="17" fillId="4" borderId="6" xfId="1" applyFont="1" applyFill="1" applyBorder="1" applyAlignment="1">
      <alignment horizontal="right"/>
    </xf>
    <xf numFmtId="9" fontId="18" fillId="4" borderId="6" xfId="1" applyFont="1" applyFill="1" applyBorder="1" applyAlignment="1">
      <alignment horizontal="right"/>
    </xf>
    <xf numFmtId="9" fontId="17" fillId="8" borderId="0" xfId="1" applyFont="1" applyFill="1" applyBorder="1" applyAlignment="1">
      <alignment horizontal="right"/>
    </xf>
    <xf numFmtId="9" fontId="18" fillId="8" borderId="0" xfId="1" applyFont="1" applyFill="1" applyBorder="1" applyAlignment="1">
      <alignment horizontal="right"/>
    </xf>
    <xf numFmtId="179" fontId="0" fillId="0" borderId="0" xfId="0" applyNumberFormat="1"/>
    <xf numFmtId="177" fontId="0" fillId="0" borderId="0" xfId="0" applyNumberFormat="1"/>
    <xf numFmtId="177" fontId="0" fillId="0" borderId="8" xfId="4" applyNumberFormat="1" applyFont="1" applyFill="1" applyBorder="1"/>
    <xf numFmtId="37" fontId="16" fillId="0" borderId="8" xfId="0" applyNumberFormat="1" applyFont="1" applyBorder="1"/>
    <xf numFmtId="175" fontId="18" fillId="0" borderId="8" xfId="0" quotePrefix="1" applyNumberFormat="1" applyFont="1" applyBorder="1" applyAlignment="1">
      <alignment horizontal="right"/>
    </xf>
    <xf numFmtId="175" fontId="25" fillId="0" borderId="8" xfId="0" quotePrefix="1" applyNumberFormat="1" applyFont="1" applyBorder="1" applyAlignment="1">
      <alignment horizontal="right"/>
    </xf>
    <xf numFmtId="175" fontId="17" fillId="0" borderId="8" xfId="0" quotePrefix="1" applyNumberFormat="1" applyFont="1" applyBorder="1" applyAlignment="1">
      <alignment horizontal="right"/>
    </xf>
    <xf numFmtId="175" fontId="17" fillId="0" borderId="8" xfId="1" applyNumberFormat="1" applyFont="1" applyBorder="1"/>
    <xf numFmtId="0" fontId="0" fillId="0" borderId="8" xfId="0" applyBorder="1"/>
    <xf numFmtId="175" fontId="17" fillId="0" borderId="8" xfId="1" applyNumberFormat="1" applyFont="1" applyFill="1" applyBorder="1"/>
    <xf numFmtId="0" fontId="17" fillId="0" borderId="8" xfId="0" applyFont="1" applyBorder="1" applyAlignment="1">
      <alignment horizontal="left" indent="1"/>
    </xf>
    <xf numFmtId="0" fontId="17" fillId="0" borderId="8" xfId="0" applyFont="1" applyBorder="1"/>
    <xf numFmtId="9" fontId="21" fillId="4" borderId="9" xfId="1" applyFont="1" applyFill="1" applyBorder="1" applyAlignment="1">
      <alignment horizontal="right"/>
    </xf>
    <xf numFmtId="9" fontId="17" fillId="4" borderId="9" xfId="1" applyFont="1" applyFill="1" applyBorder="1" applyAlignment="1">
      <alignment horizontal="right"/>
    </xf>
    <xf numFmtId="9" fontId="17" fillId="4" borderId="7" xfId="1" applyFont="1" applyFill="1" applyBorder="1" applyAlignment="1">
      <alignment horizontal="right"/>
    </xf>
    <xf numFmtId="3" fontId="15" fillId="0" borderId="8" xfId="0" applyNumberFormat="1" applyFont="1" applyBorder="1"/>
    <xf numFmtId="177" fontId="15" fillId="0" borderId="8" xfId="0" applyNumberFormat="1" applyFont="1" applyBorder="1"/>
    <xf numFmtId="175" fontId="26" fillId="0" borderId="8" xfId="1" applyNumberFormat="1" applyFont="1" applyFill="1" applyBorder="1" applyAlignment="1"/>
    <xf numFmtId="3" fontId="0" fillId="0" borderId="8" xfId="0" applyNumberFormat="1" applyBorder="1"/>
    <xf numFmtId="179" fontId="0" fillId="0" borderId="8" xfId="0" applyNumberFormat="1" applyBorder="1"/>
    <xf numFmtId="2" fontId="0" fillId="0" borderId="8" xfId="0" applyNumberFormat="1" applyBorder="1"/>
    <xf numFmtId="0" fontId="2" fillId="7" borderId="8" xfId="0" applyFont="1" applyFill="1" applyBorder="1"/>
    <xf numFmtId="0" fontId="15" fillId="0" borderId="8" xfId="0" applyFont="1" applyBorder="1"/>
    <xf numFmtId="174" fontId="2" fillId="0" borderId="0" xfId="0" applyNumberFormat="1" applyFont="1"/>
    <xf numFmtId="0" fontId="0" fillId="0" borderId="3" xfId="0" applyBorder="1"/>
    <xf numFmtId="0" fontId="0" fillId="0" borderId="4" xfId="0" applyBorder="1"/>
    <xf numFmtId="3" fontId="10" fillId="0" borderId="4" xfId="0" applyNumberFormat="1" applyFont="1" applyBorder="1"/>
    <xf numFmtId="3" fontId="0" fillId="0" borderId="4" xfId="0" applyNumberFormat="1" applyBorder="1"/>
    <xf numFmtId="3" fontId="0" fillId="0" borderId="5" xfId="0" applyNumberFormat="1" applyBorder="1"/>
    <xf numFmtId="9" fontId="26" fillId="4" borderId="9" xfId="1" applyFont="1" applyFill="1" applyBorder="1" applyAlignment="1">
      <alignment horizontal="right"/>
    </xf>
    <xf numFmtId="0" fontId="2" fillId="0" borderId="0" xfId="0" applyFont="1"/>
    <xf numFmtId="173" fontId="2" fillId="0" borderId="0" xfId="0" applyNumberFormat="1" applyFont="1"/>
    <xf numFmtId="178" fontId="2" fillId="0" borderId="0" xfId="0" applyNumberFormat="1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27" fillId="10" borderId="0" xfId="0" applyFont="1" applyFill="1" applyAlignment="1">
      <alignment vertical="center"/>
    </xf>
    <xf numFmtId="0" fontId="0" fillId="10" borderId="0" xfId="0" applyFill="1" applyAlignment="1">
      <alignment horizontal="right" vertical="center"/>
    </xf>
    <xf numFmtId="0" fontId="27" fillId="10" borderId="0" xfId="0" applyFont="1" applyFill="1" applyAlignment="1">
      <alignment horizontal="center" vertical="center"/>
    </xf>
    <xf numFmtId="0" fontId="28" fillId="10" borderId="0" xfId="0" applyFont="1" applyFill="1" applyAlignment="1">
      <alignment horizontal="centerContinuous" vertical="center"/>
    </xf>
    <xf numFmtId="0" fontId="27" fillId="10" borderId="1" xfId="0" applyFont="1" applyFill="1" applyBorder="1" applyAlignment="1">
      <alignment vertical="center"/>
    </xf>
    <xf numFmtId="0" fontId="27" fillId="10" borderId="1" xfId="0" applyFont="1" applyFill="1" applyBorder="1" applyAlignment="1">
      <alignment horizontal="center" vertical="center"/>
    </xf>
    <xf numFmtId="0" fontId="27" fillId="10" borderId="1" xfId="0" quotePrefix="1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7" fillId="0" borderId="0" xfId="0" quotePrefix="1" applyFont="1" applyAlignment="1">
      <alignment horizontal="center" vertical="center"/>
    </xf>
    <xf numFmtId="0" fontId="29" fillId="0" borderId="0" xfId="0" applyFont="1"/>
    <xf numFmtId="3" fontId="0" fillId="0" borderId="0" xfId="0" applyNumberFormat="1" applyAlignment="1">
      <alignment horizontal="center" vertical="center"/>
    </xf>
    <xf numFmtId="175" fontId="0" fillId="0" borderId="0" xfId="1" applyNumberFormat="1" applyFont="1" applyBorder="1" applyAlignment="1">
      <alignment horizontal="center"/>
    </xf>
    <xf numFmtId="180" fontId="0" fillId="0" borderId="0" xfId="0" applyNumberFormat="1" applyAlignment="1">
      <alignment horizontal="center"/>
    </xf>
    <xf numFmtId="175" fontId="0" fillId="0" borderId="0" xfId="1" applyNumberFormat="1" applyFont="1" applyAlignment="1">
      <alignment horizontal="center"/>
    </xf>
    <xf numFmtId="0" fontId="27" fillId="11" borderId="10" xfId="0" applyFont="1" applyFill="1" applyBorder="1"/>
    <xf numFmtId="0" fontId="0" fillId="11" borderId="11" xfId="0" applyFill="1" applyBorder="1"/>
    <xf numFmtId="175" fontId="27" fillId="11" borderId="11" xfId="0" applyNumberFormat="1" applyFont="1" applyFill="1" applyBorder="1" applyAlignment="1">
      <alignment horizontal="center"/>
    </xf>
    <xf numFmtId="180" fontId="27" fillId="11" borderId="11" xfId="0" applyNumberFormat="1" applyFont="1" applyFill="1" applyBorder="1" applyAlignment="1">
      <alignment horizontal="center"/>
    </xf>
    <xf numFmtId="180" fontId="27" fillId="11" borderId="12" xfId="0" applyNumberFormat="1" applyFont="1" applyFill="1" applyBorder="1" applyAlignment="1">
      <alignment horizontal="center"/>
    </xf>
    <xf numFmtId="0" fontId="27" fillId="11" borderId="13" xfId="0" applyFont="1" applyFill="1" applyBorder="1"/>
    <xf numFmtId="0" fontId="0" fillId="11" borderId="1" xfId="0" applyFill="1" applyBorder="1"/>
    <xf numFmtId="175" fontId="27" fillId="11" borderId="1" xfId="0" applyNumberFormat="1" applyFont="1" applyFill="1" applyBorder="1" applyAlignment="1">
      <alignment horizontal="center"/>
    </xf>
    <xf numFmtId="180" fontId="27" fillId="11" borderId="1" xfId="0" applyNumberFormat="1" applyFont="1" applyFill="1" applyBorder="1" applyAlignment="1">
      <alignment horizontal="center"/>
    </xf>
    <xf numFmtId="180" fontId="27" fillId="11" borderId="14" xfId="0" applyNumberFormat="1" applyFont="1" applyFill="1" applyBorder="1" applyAlignment="1">
      <alignment horizontal="center"/>
    </xf>
    <xf numFmtId="180" fontId="0" fillId="0" borderId="0" xfId="0" applyNumberFormat="1" applyAlignment="1">
      <alignment horizontal="center" vertical="center"/>
    </xf>
    <xf numFmtId="4" fontId="29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 vertical="center"/>
    </xf>
    <xf numFmtId="1" fontId="29" fillId="0" borderId="0" xfId="0" quotePrefix="1" applyNumberFormat="1" applyFont="1" applyAlignment="1">
      <alignment horizontal="center" vertical="center"/>
    </xf>
    <xf numFmtId="3" fontId="0" fillId="0" borderId="0" xfId="0" quotePrefix="1" applyNumberFormat="1" applyAlignment="1">
      <alignment horizontal="center" vertical="center"/>
    </xf>
    <xf numFmtId="181" fontId="0" fillId="0" borderId="0" xfId="0" quotePrefix="1" applyNumberFormat="1" applyAlignment="1">
      <alignment vertical="center"/>
    </xf>
    <xf numFmtId="3" fontId="0" fillId="0" borderId="0" xfId="0" applyNumberFormat="1" applyAlignment="1">
      <alignment horizontal="center"/>
    </xf>
    <xf numFmtId="0" fontId="30" fillId="0" borderId="0" xfId="0" applyFont="1" applyAlignment="1">
      <alignment vertical="center"/>
    </xf>
    <xf numFmtId="0" fontId="6" fillId="0" borderId="0" xfId="3" applyAlignment="1">
      <alignment horizontal="left" vertical="center" indent="1"/>
    </xf>
    <xf numFmtId="10" fontId="0" fillId="0" borderId="0" xfId="0" applyNumberFormat="1"/>
    <xf numFmtId="9" fontId="0" fillId="0" borderId="0" xfId="0" applyNumberFormat="1"/>
    <xf numFmtId="44" fontId="0" fillId="0" borderId="0" xfId="4" applyFont="1"/>
    <xf numFmtId="9" fontId="27" fillId="11" borderId="12" xfId="1" applyFont="1" applyFill="1" applyBorder="1" applyAlignment="1">
      <alignment horizontal="center"/>
    </xf>
    <xf numFmtId="9" fontId="27" fillId="11" borderId="14" xfId="1" applyFont="1" applyFill="1" applyBorder="1" applyAlignment="1">
      <alignment horizontal="center"/>
    </xf>
    <xf numFmtId="0" fontId="28" fillId="10" borderId="8" xfId="0" applyFont="1" applyFill="1" applyBorder="1" applyAlignment="1">
      <alignment horizontal="centerContinuous" vertical="center"/>
    </xf>
    <xf numFmtId="9" fontId="0" fillId="0" borderId="8" xfId="1" applyFont="1" applyBorder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8" xfId="0" applyFont="1" applyBorder="1" applyAlignment="1">
      <alignment horizontal="center" vertical="top"/>
    </xf>
    <xf numFmtId="0" fontId="29" fillId="0" borderId="8" xfId="0" applyFont="1" applyBorder="1"/>
    <xf numFmtId="175" fontId="0" fillId="0" borderId="8" xfId="1" applyNumberFormat="1" applyFont="1" applyBorder="1" applyAlignment="1">
      <alignment horizontal="center"/>
    </xf>
    <xf numFmtId="180" fontId="0" fillId="0" borderId="8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</cellXfs>
  <cellStyles count="5">
    <cellStyle name="Hipervínculo" xfId="3" builtinId="8"/>
    <cellStyle name="Moneda" xfId="4" builtinId="4"/>
    <cellStyle name="Normal" xfId="0" builtinId="0"/>
    <cellStyle name="Normal 2" xfId="2" xr:uid="{0382E658-C32A-4AB3-921E-C33846E683EE}"/>
    <cellStyle name="Porcentaje" xfId="1" builtinId="5"/>
  </cellStyles>
  <dxfs count="3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numFmt numFmtId="177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7" formatCode="_-[$$-409]* #,##0.00_ ;_-[$$-409]* \-#,##0.00\ ;_-[$$-409]* &quot;-&quot;??_ ;_-@_ 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baseline="0">
                <a:solidFill>
                  <a:sysClr val="windowText" lastClr="000000"/>
                </a:solidFill>
              </a:rPr>
              <a:t>Exxon Mobil – Valuation Football Field (USD per Share)</a:t>
            </a:r>
            <a:endParaRPr lang="es-E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Charts!$E$1</c:f>
              <c:strCache>
                <c:ptCount val="1"/>
                <c:pt idx="0">
                  <c:v>Inicio</c:v>
                </c:pt>
              </c:strCache>
            </c:strRef>
          </c:tx>
          <c:spPr>
            <a:solidFill>
              <a:sysClr val="window" lastClr="FFFFFF"/>
            </a:solidFill>
            <a:ln>
              <a:noFill/>
            </a:ln>
            <a:effectLst/>
          </c:spPr>
          <c:invertIfNegative val="0"/>
          <c:cat>
            <c:strRef>
              <c:f>Charts!$A$2:$A$8</c:f>
              <c:strCache>
                <c:ptCount val="6"/>
                <c:pt idx="0">
                  <c:v>Comps EV/Revenue</c:v>
                </c:pt>
                <c:pt idx="1">
                  <c:v>Comp EV/EBITDA</c:v>
                </c:pt>
                <c:pt idx="2">
                  <c:v>Comps P/E (Net Income)</c:v>
                </c:pt>
                <c:pt idx="3">
                  <c:v>DCF Propio</c:v>
                </c:pt>
                <c:pt idx="4">
                  <c:v>Precedent Transactions</c:v>
                </c:pt>
                <c:pt idx="5">
                  <c:v>Analyst</c:v>
                </c:pt>
              </c:strCache>
            </c:strRef>
          </c:cat>
          <c:val>
            <c:numRef>
              <c:f>Charts!$E$2:$E$8</c:f>
              <c:numCache>
                <c:formatCode>General</c:formatCode>
                <c:ptCount val="7"/>
                <c:pt idx="0">
                  <c:v>29.88</c:v>
                </c:pt>
                <c:pt idx="1">
                  <c:v>27.77</c:v>
                </c:pt>
                <c:pt idx="2">
                  <c:v>55.71</c:v>
                </c:pt>
                <c:pt idx="3">
                  <c:v>97.6</c:v>
                </c:pt>
                <c:pt idx="4">
                  <c:v>41.9</c:v>
                </c:pt>
                <c:pt idx="5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E-4235-B27E-AC32F278862B}"/>
            </c:ext>
          </c:extLst>
        </c:ser>
        <c:ser>
          <c:idx val="1"/>
          <c:order val="1"/>
          <c:tx>
            <c:strRef>
              <c:f>Charts!$F$1</c:f>
              <c:strCache>
                <c:ptCount val="1"/>
                <c:pt idx="0">
                  <c:v>Rango</c:v>
                </c:pt>
              </c:strCache>
            </c:strRef>
          </c:tx>
          <c:spPr>
            <a:solidFill>
              <a:srgbClr val="0000FF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FFE-4235-B27E-AC32F278862B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FE-4235-B27E-AC32F278862B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FFE-4235-B27E-AC32F278862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FFE-4235-B27E-AC32F278862B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FFE-4235-B27E-AC32F278862B}"/>
              </c:ext>
            </c:extLst>
          </c:dPt>
          <c:cat>
            <c:strRef>
              <c:f>Charts!$A$2:$A$8</c:f>
              <c:strCache>
                <c:ptCount val="6"/>
                <c:pt idx="0">
                  <c:v>Comps EV/Revenue</c:v>
                </c:pt>
                <c:pt idx="1">
                  <c:v>Comp EV/EBITDA</c:v>
                </c:pt>
                <c:pt idx="2">
                  <c:v>Comps P/E (Net Income)</c:v>
                </c:pt>
                <c:pt idx="3">
                  <c:v>DCF Propio</c:v>
                </c:pt>
                <c:pt idx="4">
                  <c:v>Precedent Transactions</c:v>
                </c:pt>
                <c:pt idx="5">
                  <c:v>Analyst</c:v>
                </c:pt>
              </c:strCache>
            </c:strRef>
          </c:cat>
          <c:val>
            <c:numRef>
              <c:f>Charts!$F$2:$F$8</c:f>
              <c:numCache>
                <c:formatCode>General</c:formatCode>
                <c:ptCount val="7"/>
                <c:pt idx="0">
                  <c:v>86.76</c:v>
                </c:pt>
                <c:pt idx="1">
                  <c:v>72.78</c:v>
                </c:pt>
                <c:pt idx="2">
                  <c:v>96.20999999999998</c:v>
                </c:pt>
                <c:pt idx="3">
                  <c:v>88.28</c:v>
                </c:pt>
                <c:pt idx="4">
                  <c:v>69.5</c:v>
                </c:pt>
                <c:pt idx="5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FE-4235-B27E-AC32F278862B}"/>
            </c:ext>
          </c:extLst>
        </c:ser>
        <c:ser>
          <c:idx val="2"/>
          <c:order val="2"/>
          <c:tx>
            <c:strRef>
              <c:f>Charts!$C$8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8-1FFE-4235-B27E-AC32F2788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51512184"/>
        <c:axId val="1251514704"/>
      </c:barChart>
      <c:catAx>
        <c:axId val="1251512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51514704"/>
        <c:crosses val="autoZero"/>
        <c:auto val="1"/>
        <c:lblAlgn val="ctr"/>
        <c:lblOffset val="100"/>
        <c:noMultiLvlLbl val="0"/>
      </c:catAx>
      <c:valAx>
        <c:axId val="1251514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51512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571500</xdr:colOff>
      <xdr:row>2</xdr:row>
      <xdr:rowOff>0</xdr:rowOff>
    </xdr:from>
    <xdr:to>
      <xdr:col>7</xdr:col>
      <xdr:colOff>152400</xdr:colOff>
      <xdr:row>7</xdr:row>
      <xdr:rowOff>0</xdr:rowOff>
    </xdr:to>
    <xdr:pic>
      <xdr:nvPicPr>
        <xdr:cNvPr id="2" name="Imagen 1" descr="Gráfico y precio acc. Exxon Mobil: NYSE:XOM — TradingView">
          <a:extLst>
            <a:ext uri="{FF2B5EF4-FFF2-40B4-BE49-F238E27FC236}">
              <a16:creationId xmlns:a16="http://schemas.microsoft.com/office/drawing/2014/main" id="{445F21ED-0D07-CE84-4C5B-00F6C8A4F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1680" y="449580"/>
          <a:ext cx="9144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238125</xdr:colOff>
      <xdr:row>3</xdr:row>
      <xdr:rowOff>229552</xdr:rowOff>
    </xdr:from>
    <xdr:to>
      <xdr:col>13</xdr:col>
      <xdr:colOff>62865</xdr:colOff>
      <xdr:row>16</xdr:row>
      <xdr:rowOff>75247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6E9E1A2-E7C6-60AF-EE2A-00603CF6F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D90AF0BB-2C10-49A8-BBD3-84501B7F4E18}" autoFormatId="16" applyNumberFormats="0" applyBorderFormats="0" applyFontFormats="0" applyPatternFormats="0" applyAlignmentFormats="0" applyWidthHeightFormats="0">
  <queryTableRefresh nextId="48">
    <queryTableFields count="47">
      <queryTableField id="1" name="date" tableColumnId="1"/>
      <queryTableField id="2" name="symbol" tableColumnId="2"/>
      <queryTableField id="3" name="reportedCurrency" tableColumnId="3"/>
      <queryTableField id="4" name="cik" tableColumnId="4"/>
      <queryTableField id="5" name="filingDate" tableColumnId="5"/>
      <queryTableField id="6" name="acceptedDate" tableColumnId="6"/>
      <queryTableField id="7" name="fiscalYear" tableColumnId="7"/>
      <queryTableField id="8" name="period" tableColumnId="8"/>
      <queryTableField id="9" name="netIncome" tableColumnId="9"/>
      <queryTableField id="10" name="depreciationAndAmortization" tableColumnId="10"/>
      <queryTableField id="11" name="deferredIncomeTax" tableColumnId="11"/>
      <queryTableField id="12" name="stockBasedCompensation" tableColumnId="12"/>
      <queryTableField id="13" name="changeInWorkingCapital" tableColumnId="13"/>
      <queryTableField id="14" name="accountsReceivables" tableColumnId="14"/>
      <queryTableField id="15" name="inventory" tableColumnId="15"/>
      <queryTableField id="16" name="accountsPayables" tableColumnId="16"/>
      <queryTableField id="17" name="otherWorkingCapital" tableColumnId="17"/>
      <queryTableField id="18" name="otherNonCashItems" tableColumnId="18"/>
      <queryTableField id="19" name="netCashProvidedByOperatingActivities" tableColumnId="19"/>
      <queryTableField id="20" name="investmentsInPropertyPlantAndEquipment" tableColumnId="20"/>
      <queryTableField id="21" name="acquisitionsNet" tableColumnId="21"/>
      <queryTableField id="22" name="purchasesOfInvestments" tableColumnId="22"/>
      <queryTableField id="23" name="salesMaturitiesOfInvestments" tableColumnId="23"/>
      <queryTableField id="24" name="otherInvestingActivities" tableColumnId="24"/>
      <queryTableField id="25" name="netCashProvidedByInvestingActivities" tableColumnId="25"/>
      <queryTableField id="26" name="netDebtIssuance" tableColumnId="26"/>
      <queryTableField id="27" name="longTermNetDebtIssuance" tableColumnId="27"/>
      <queryTableField id="28" name="shortTermNetDebtIssuance" tableColumnId="28"/>
      <queryTableField id="29" name="netStockIssuance" tableColumnId="29"/>
      <queryTableField id="30" name="netCommonStockIssuance" tableColumnId="30"/>
      <queryTableField id="31" name="commonStockIssuance" tableColumnId="31"/>
      <queryTableField id="32" name="commonStockRepurchased" tableColumnId="32"/>
      <queryTableField id="33" name="netPreferredStockIssuance" tableColumnId="33"/>
      <queryTableField id="34" name="netDividendsPaid" tableColumnId="34"/>
      <queryTableField id="35" name="commonDividendsPaid" tableColumnId="35"/>
      <queryTableField id="36" name="preferredDividendsPaid" tableColumnId="36"/>
      <queryTableField id="37" name="otherFinancingActivities" tableColumnId="37"/>
      <queryTableField id="38" name="netCashProvidedByFinancingActivities" tableColumnId="38"/>
      <queryTableField id="39" name="effectOfForexChangesOnCash" tableColumnId="39"/>
      <queryTableField id="40" name="netChangeInCash" tableColumnId="40"/>
      <queryTableField id="41" name="cashAtEndOfPeriod" tableColumnId="41"/>
      <queryTableField id="42" name="cashAtBeginningOfPeriod" tableColumnId="42"/>
      <queryTableField id="43" name="operatingCashFlow" tableColumnId="43"/>
      <queryTableField id="44" name="capitalExpenditure" tableColumnId="44"/>
      <queryTableField id="45" name="freeCashFlow" tableColumnId="45"/>
      <queryTableField id="46" name="incomeTaxesPaid" tableColumnId="46"/>
      <queryTableField id="47" name="interestPaid" tableColumnId="4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0E21F4B0-D53E-41D5-A320-3D69B25B667E}" autoFormatId="16" applyNumberFormats="0" applyBorderFormats="0" applyFontFormats="0" applyPatternFormats="0" applyAlignmentFormats="0" applyWidthHeightFormats="0">
  <queryTableRefresh nextId="82">
    <queryTableFields count="41">
      <queryTableField id="40" name="date" tableColumnId="40"/>
      <queryTableField id="41" name="symbol" tableColumnId="41"/>
      <queryTableField id="42" name="reportedCurrency" tableColumnId="42"/>
      <queryTableField id="43" name="cik" tableColumnId="43"/>
      <queryTableField id="44" name="filingDate" tableColumnId="44"/>
      <queryTableField id="45" name="acceptedDate" tableColumnId="45"/>
      <queryTableField id="46" name="fiscalYear" tableColumnId="46"/>
      <queryTableField id="47" name="period" tableColumnId="47"/>
      <queryTableField id="48" name="revenue" tableColumnId="48"/>
      <queryTableField id="49" name="costOfRevenue" tableColumnId="49"/>
      <queryTableField id="79" dataBound="0" tableColumnId="1"/>
      <queryTableField id="50" name="grossProfit" tableColumnId="50"/>
      <queryTableField id="51" name="researchAndDevelopmentExpenses" tableColumnId="51"/>
      <queryTableField id="52" name="generalAndAdministrativeExpenses" tableColumnId="52"/>
      <queryTableField id="53" name="sellingAndMarketingExpenses" tableColumnId="53"/>
      <queryTableField id="54" name="sellingGeneralAndAdministrativeExpenses" tableColumnId="54"/>
      <queryTableField id="55" name="otherExpenses" tableColumnId="55"/>
      <queryTableField id="56" name="operatingExpenses" tableColumnId="56"/>
      <queryTableField id="57" name="costAndExpenses" tableColumnId="57"/>
      <queryTableField id="58" name="netInterestIncome" tableColumnId="58"/>
      <queryTableField id="59" name="interestIncome" tableColumnId="59"/>
      <queryTableField id="60" name="interestExpense" tableColumnId="60"/>
      <queryTableField id="61" name="depreciationAndAmortization" tableColumnId="61"/>
      <queryTableField id="62" name="ebitda" tableColumnId="62"/>
      <queryTableField id="63" name="ebit" tableColumnId="63"/>
      <queryTableField id="64" name="nonOperatingIncomeExcludingInterest" tableColumnId="64"/>
      <queryTableField id="65" name="operatingIncome" tableColumnId="65"/>
      <queryTableField id="66" name="totalOtherIncomeExpensesNet" tableColumnId="66"/>
      <queryTableField id="67" name="incomeBeforeTax" tableColumnId="67"/>
      <queryTableField id="68" name="incomeTaxExpense" tableColumnId="68"/>
      <queryTableField id="80" dataBound="0" tableColumnId="2"/>
      <queryTableField id="69" name="netIncomeFromContinuingOperations" tableColumnId="69"/>
      <queryTableField id="70" name="netIncomeFromDiscontinuedOperations" tableColumnId="70"/>
      <queryTableField id="71" name="otherAdjustmentsToNetIncome" tableColumnId="71"/>
      <queryTableField id="72" name="netIncome" tableColumnId="72"/>
      <queryTableField id="73" name="netIncomeDeductions" tableColumnId="73"/>
      <queryTableField id="74" name="bottomLineNetIncome" tableColumnId="74"/>
      <queryTableField id="75" name="eps" tableColumnId="75"/>
      <queryTableField id="76" name="epsDiluted" tableColumnId="76"/>
      <queryTableField id="77" name="weightedAverageShsOut" tableColumnId="77"/>
      <queryTableField id="78" name="weightedAverageShsOutDil" tableColumnId="7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239B4B-410F-4981-BFB9-792295625FB2}" name="cash_flow_statement?symbol_XOM_apikey_1hHlVrybFSY5JvDKRGGC351WpISPRA1x" displayName="cash_flow_statement?symbol_XOM_apikey_1hHlVrybFSY5JvDKRGGC351WpISPRA1x" ref="A1:AU6" tableType="queryTable" totalsRowShown="0">
  <autoFilter ref="A1:AU6" xr:uid="{F9239B4B-410F-4981-BFB9-792295625FB2}"/>
  <tableColumns count="47">
    <tableColumn id="1" xr3:uid="{F8665BF8-46AB-482C-82BC-3CED7A10D070}" uniqueName="1" name="date" queryTableFieldId="1"/>
    <tableColumn id="2" xr3:uid="{800C6D47-06AE-46B2-B055-7B530B67C64D}" uniqueName="2" name="symbol" queryTableFieldId="2"/>
    <tableColumn id="3" xr3:uid="{B9DA212E-5F07-4446-8E30-C56D75E47E11}" uniqueName="3" name="reportedCurrency" queryTableFieldId="3"/>
    <tableColumn id="4" xr3:uid="{1BAE1EBA-8578-4BB9-AC13-D8BD8B938685}" uniqueName="4" name="cik" queryTableFieldId="4"/>
    <tableColumn id="5" xr3:uid="{611E3BF8-6B48-4929-8A7F-98B951372013}" uniqueName="5" name="filingDate" queryTableFieldId="5"/>
    <tableColumn id="6" xr3:uid="{35A66B39-4323-4941-B1F3-665CFF3979D3}" uniqueName="6" name="acceptedDate" queryTableFieldId="6"/>
    <tableColumn id="7" xr3:uid="{CE751260-09A2-440A-88C5-C09FAAD4A8AD}" uniqueName="7" name="fiscalYear" queryTableFieldId="7"/>
    <tableColumn id="8" xr3:uid="{88B07D9C-72E5-4733-BE66-2A63B4B2017C}" uniqueName="8" name="period" queryTableFieldId="8"/>
    <tableColumn id="9" xr3:uid="{D6EA5246-AC77-4DED-A119-073AF984E9B8}" uniqueName="9" name="netIncome" queryTableFieldId="9"/>
    <tableColumn id="10" xr3:uid="{133C6BA5-62FA-4E41-9FBE-737ACB029B3B}" uniqueName="10" name="depreciationAndAmortization" queryTableFieldId="10"/>
    <tableColumn id="11" xr3:uid="{384B865E-1260-40C0-B6EC-7BB709E0F26F}" uniqueName="11" name="deferredIncomeTax" queryTableFieldId="11"/>
    <tableColumn id="12" xr3:uid="{79263F2C-8E51-472C-AA6D-C9C1FC26BEEF}" uniqueName="12" name="stockBasedCompensation" queryTableFieldId="12"/>
    <tableColumn id="13" xr3:uid="{5D0EBD95-8451-4FA0-80AA-BD05656E679A}" uniqueName="13" name="changeInWorkingCapital" queryTableFieldId="13"/>
    <tableColumn id="14" xr3:uid="{2D73024F-81E7-4C45-8E61-95FAC9CD519B}" uniqueName="14" name="accountsReceivables" queryTableFieldId="14"/>
    <tableColumn id="15" xr3:uid="{B747363A-3118-48B6-83D8-4C611C702424}" uniqueName="15" name="inventory" queryTableFieldId="15"/>
    <tableColumn id="16" xr3:uid="{C9ABE7DD-F2F5-4977-811F-15DE3169477F}" uniqueName="16" name="accountsPayables" queryTableFieldId="16"/>
    <tableColumn id="17" xr3:uid="{DF588ADB-4852-45EB-ACAD-51D56DB10030}" uniqueName="17" name="otherWorkingCapital" queryTableFieldId="17"/>
    <tableColumn id="18" xr3:uid="{32E6347A-85DC-427F-A7C5-C01E71DC9AA7}" uniqueName="18" name="otherNonCashItems" queryTableFieldId="18"/>
    <tableColumn id="19" xr3:uid="{0C4BE1A4-CE26-44ED-86C8-C7CFF7AEB2E9}" uniqueName="19" name="netCashProvidedByOperatingActivities" queryTableFieldId="19"/>
    <tableColumn id="20" xr3:uid="{07BE7E72-CF37-49FB-9DD1-47619A43EE7A}" uniqueName="20" name="investmentsInPropertyPlantAndEquipment" queryTableFieldId="20"/>
    <tableColumn id="21" xr3:uid="{855B94D1-C745-4159-ABAE-91CB12F55D59}" uniqueName="21" name="acquisitionsNet" queryTableFieldId="21"/>
    <tableColumn id="22" xr3:uid="{C8AEB8E5-9215-4CF8-961E-B4B82FAB7E66}" uniqueName="22" name="purchasesOfInvestments" queryTableFieldId="22"/>
    <tableColumn id="23" xr3:uid="{CCF2B4E4-DDEB-4931-958C-D4481E592D3F}" uniqueName="23" name="salesMaturitiesOfInvestments" queryTableFieldId="23"/>
    <tableColumn id="24" xr3:uid="{1FB5D165-C295-4552-9D7F-54713AA10954}" uniqueName="24" name="otherInvestingActivities" queryTableFieldId="24"/>
    <tableColumn id="25" xr3:uid="{E2F0DF13-766B-49C8-A258-79F697DA5B78}" uniqueName="25" name="netCashProvidedByInvestingActivities" queryTableFieldId="25"/>
    <tableColumn id="26" xr3:uid="{EF0BB376-9E80-4162-9185-8705D4283443}" uniqueName="26" name="netDebtIssuance" queryTableFieldId="26"/>
    <tableColumn id="27" xr3:uid="{89E1172A-ACBB-4DF6-AC25-394639A3EB3A}" uniqueName="27" name="longTermNetDebtIssuance" queryTableFieldId="27"/>
    <tableColumn id="28" xr3:uid="{C158E9E1-F85E-4DB9-AB12-08B66068D416}" uniqueName="28" name="shortTermNetDebtIssuance" queryTableFieldId="28"/>
    <tableColumn id="29" xr3:uid="{FF0C5D6D-8F74-4FC0-BFBD-5221FA5DCC32}" uniqueName="29" name="netStockIssuance" queryTableFieldId="29"/>
    <tableColumn id="30" xr3:uid="{8F027E2D-196E-4CB8-B40B-060E25547030}" uniqueName="30" name="netCommonStockIssuance" queryTableFieldId="30"/>
    <tableColumn id="31" xr3:uid="{6C6287C7-8A90-46A8-98A1-4DBB126485D8}" uniqueName="31" name="commonStockIssuance" queryTableFieldId="31"/>
    <tableColumn id="32" xr3:uid="{DB4A8624-7C07-43EE-9F70-DE2FBECAB117}" uniqueName="32" name="commonStockRepurchased" queryTableFieldId="32"/>
    <tableColumn id="33" xr3:uid="{32A36EA5-C447-4C32-AEED-C883B08669B2}" uniqueName="33" name="netPreferredStockIssuance" queryTableFieldId="33"/>
    <tableColumn id="34" xr3:uid="{9334AE55-CA8B-4942-A3C1-C3601BA1E8BB}" uniqueName="34" name="netDividendsPaid" queryTableFieldId="34"/>
    <tableColumn id="35" xr3:uid="{A4C2899C-6E0D-44FC-9C8E-506BA393B5BF}" uniqueName="35" name="commonDividendsPaid" queryTableFieldId="35"/>
    <tableColumn id="36" xr3:uid="{8C3222FF-377A-4554-9322-D82C8F9EBAA1}" uniqueName="36" name="preferredDividendsPaid" queryTableFieldId="36"/>
    <tableColumn id="37" xr3:uid="{2B763E78-D376-4767-A781-C2269ADD9E39}" uniqueName="37" name="otherFinancingActivities" queryTableFieldId="37"/>
    <tableColumn id="38" xr3:uid="{D6DACFB7-8798-468F-A205-320333FF057A}" uniqueName="38" name="netCashProvidedByFinancingActivities" queryTableFieldId="38"/>
    <tableColumn id="39" xr3:uid="{4BD06CEF-F776-48E5-969B-2F8D92688042}" uniqueName="39" name="effectOfForexChangesOnCash" queryTableFieldId="39"/>
    <tableColumn id="40" xr3:uid="{2C2C4463-B7E8-4E95-9350-F408E304F72C}" uniqueName="40" name="netChangeInCash" queryTableFieldId="40"/>
    <tableColumn id="41" xr3:uid="{45DC287E-9F62-47BA-A229-AFC29377CD4F}" uniqueName="41" name="cashAtEndOfPeriod" queryTableFieldId="41"/>
    <tableColumn id="42" xr3:uid="{115A2B66-8D03-492B-A446-82051DE8D6D8}" uniqueName="42" name="cashAtBeginningOfPeriod" queryTableFieldId="42"/>
    <tableColumn id="43" xr3:uid="{EEAEA282-6793-4664-AFA1-6365F9876B9C}" uniqueName="43" name="operatingCashFlow" queryTableFieldId="43"/>
    <tableColumn id="44" xr3:uid="{62D08A90-B181-456C-9ED6-2ECC9B06E66B}" uniqueName="44" name="capitalExpenditure" queryTableFieldId="44"/>
    <tableColumn id="45" xr3:uid="{575CE4DD-F4C5-4484-9985-0423780847F6}" uniqueName="45" name="freeCashFlow" queryTableFieldId="45"/>
    <tableColumn id="46" xr3:uid="{5FF0BD29-C289-447F-95B8-D1ED08F7AA24}" uniqueName="46" name="incomeTaxesPaid" queryTableFieldId="46"/>
    <tableColumn id="47" xr3:uid="{670F812F-FAE4-4E67-A612-CEC5B642172B}" uniqueName="47" name="interestPaid" queryTableFieldId="4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77458A-3787-4920-9147-90FB1DA34510}" name="income_statement?symbol_AAPL_apikey_1hHlVrybFSY5JvDKRGGC351WpISPRA1x" displayName="income_statement?symbol_AAPL_apikey_1hHlVrybFSY5JvDKRGGC351WpISPRA1x" ref="A1:AO6" tableType="queryTable" totalsRowShown="0">
  <autoFilter ref="A1:AO6" xr:uid="{3477458A-3787-4920-9147-90FB1DA34510}"/>
  <tableColumns count="41">
    <tableColumn id="40" xr3:uid="{C6F55C3D-E0FF-4C0C-839F-1063C1CA2492}" uniqueName="40" name="date" queryTableFieldId="40"/>
    <tableColumn id="41" xr3:uid="{824F8504-91D8-4592-BCF6-45730D3D0D36}" uniqueName="41" name="symbol" queryTableFieldId="41"/>
    <tableColumn id="42" xr3:uid="{D0A9A2D5-169E-4A49-83AB-88BA93550F81}" uniqueName="42" name="reportedCurrency" queryTableFieldId="42"/>
    <tableColumn id="43" xr3:uid="{1863F308-043E-4703-8FF5-0D8A1FE84DCA}" uniqueName="43" name="cik" queryTableFieldId="43"/>
    <tableColumn id="44" xr3:uid="{C50EB0E6-7CAC-4F89-809C-B096627C25AA}" uniqueName="44" name="filingDate" queryTableFieldId="44"/>
    <tableColumn id="45" xr3:uid="{6138A4AB-DFD7-4439-93F3-9DADCBCB39B5}" uniqueName="45" name="acceptedDate" queryTableFieldId="45"/>
    <tableColumn id="46" xr3:uid="{3086F2FF-5AC0-44B2-A3F7-ED8E853A6448}" uniqueName="46" name="fiscalYear" queryTableFieldId="46"/>
    <tableColumn id="47" xr3:uid="{EBF17F9F-D65D-4969-8F2B-AD909DC738DA}" uniqueName="47" name="period" queryTableFieldId="47"/>
    <tableColumn id="48" xr3:uid="{07F6F4B0-9AB3-4836-82B9-F5D8DE4EC69E}" uniqueName="48" name="revenue" queryTableFieldId="48" dataDxfId="30" dataCellStyle="Moneda"/>
    <tableColumn id="49" xr3:uid="{9855DCCC-1483-43E0-8BB4-04BD87A4F931}" uniqueName="49" name="costOfRevenue" queryTableFieldId="49" dataDxfId="29" dataCellStyle="Moneda"/>
    <tableColumn id="1" xr3:uid="{EFAF5504-32A4-409B-B80E-2D9C8CCA1CF1}" uniqueName="1" name="GrossMargin" queryTableFieldId="79" dataDxfId="28" dataCellStyle="Porcentaje">
      <calculatedColumnFormula>income_statement?symbol_AAPL_apikey_1hHlVrybFSY5JvDKRGGC351WpISPRA1x[[#This Row],[revenue]] / income_statement?symbol_AAPL_apikey_1hHlVrybFSY5JvDKRGGC351WpISPRA1x[[#This Row],[costOfRevenue]] - 1</calculatedColumnFormula>
    </tableColumn>
    <tableColumn id="50" xr3:uid="{2A5D389F-3B95-42F3-B76F-73DD443C422C}" uniqueName="50" name="grossProfit" queryTableFieldId="50" dataDxfId="27" dataCellStyle="Moneda"/>
    <tableColumn id="51" xr3:uid="{BA134485-451C-45D4-A0E3-896CBDDC95F3}" uniqueName="51" name="researchAndDevelopmentExpenses" queryTableFieldId="51" dataDxfId="26" dataCellStyle="Moneda"/>
    <tableColumn id="52" xr3:uid="{E7800F4B-0E8B-4B4B-A73A-C111E7E79189}" uniqueName="52" name="generalAndAdministrativeExpenses" queryTableFieldId="52" dataDxfId="25" dataCellStyle="Moneda"/>
    <tableColumn id="53" xr3:uid="{6BC15DC7-78D6-48F4-9CA2-8F750DC103CC}" uniqueName="53" name="sellingAndMarketingExpenses" queryTableFieldId="53" dataDxfId="24" dataCellStyle="Moneda"/>
    <tableColumn id="54" xr3:uid="{9FC2DDD2-E967-4240-A65D-124DDB2C5650}" uniqueName="54" name="sellingGeneralAndAdministrativeExpenses" queryTableFieldId="54" dataDxfId="23" dataCellStyle="Moneda"/>
    <tableColumn id="55" xr3:uid="{84C9C645-4A90-4234-9294-A40FEFBA2C97}" uniqueName="55" name="otherExpenses" queryTableFieldId="55" dataDxfId="22" dataCellStyle="Moneda"/>
    <tableColumn id="56" xr3:uid="{ADCC831E-8144-448A-9DB6-1B32D7620F90}" uniqueName="56" name="operatingExpenses" queryTableFieldId="56" dataDxfId="21" dataCellStyle="Moneda"/>
    <tableColumn id="57" xr3:uid="{4C9844FF-F03F-400A-A7B5-6392032BE128}" uniqueName="57" name="costAndExpenses" queryTableFieldId="57" dataDxfId="20" dataCellStyle="Moneda"/>
    <tableColumn id="58" xr3:uid="{0EBB144F-776B-4F1D-B2F8-EF6667DFE84B}" uniqueName="58" name="netInterestIncome" queryTableFieldId="58" dataDxfId="19" dataCellStyle="Moneda"/>
    <tableColumn id="59" xr3:uid="{602FF928-F6A1-4C70-8F42-284432D89E05}" uniqueName="59" name="interestIncome" queryTableFieldId="59" dataDxfId="18" dataCellStyle="Moneda"/>
    <tableColumn id="60" xr3:uid="{9637299A-B16B-45D7-A312-DDB7495630EA}" uniqueName="60" name="interestExpense" queryTableFieldId="60" dataDxfId="17" dataCellStyle="Moneda"/>
    <tableColumn id="61" xr3:uid="{C792DCF6-4FE5-4E33-8463-18AF4E04E4CD}" uniqueName="61" name="depreciationAndAmortization" queryTableFieldId="61" dataDxfId="16" dataCellStyle="Moneda"/>
    <tableColumn id="62" xr3:uid="{659F08C5-F1DD-47AE-929C-0BC4695855DF}" uniqueName="62" name="ebitda" queryTableFieldId="62" dataDxfId="15" dataCellStyle="Moneda"/>
    <tableColumn id="63" xr3:uid="{9620F5F3-0FFA-4702-A2E9-8C8C55611AA7}" uniqueName="63" name="ebit" queryTableFieldId="63" dataDxfId="14" dataCellStyle="Moneda"/>
    <tableColumn id="64" xr3:uid="{0DBB7663-8CDE-4E8F-A951-03B42088BEEA}" uniqueName="64" name="nonOperatingIncomeExcludingInterest" queryTableFieldId="64" dataDxfId="13" dataCellStyle="Moneda"/>
    <tableColumn id="65" xr3:uid="{59F49E45-9CC4-4800-8191-9BCF7FBF9322}" uniqueName="65" name="operatingIncome" queryTableFieldId="65" dataDxfId="12" dataCellStyle="Moneda"/>
    <tableColumn id="66" xr3:uid="{22123363-6C68-45E9-8DB8-6CAFEF6C4434}" uniqueName="66" name="totalOtherIncomeExpensesNet" queryTableFieldId="66" dataDxfId="11" dataCellStyle="Moneda"/>
    <tableColumn id="67" xr3:uid="{381D004E-AF42-4328-ACAF-E1B1FAE01E7F}" uniqueName="67" name="incomeBeforeTax" queryTableFieldId="67" dataDxfId="10" dataCellStyle="Moneda"/>
    <tableColumn id="68" xr3:uid="{9A8D2F1A-0D62-41F8-92CE-80698814F2DB}" uniqueName="68" name="incomeTaxExpense" queryTableFieldId="68" dataDxfId="9" dataCellStyle="Moneda"/>
    <tableColumn id="2" xr3:uid="{B43AC89A-6513-416D-BAA1-C3E0B6F595DF}" uniqueName="2" name="% TAXES" queryTableFieldId="80" dataDxfId="8" dataCellStyle="Porcentaje">
      <calculatedColumnFormula>income_statement?symbol_AAPL_apikey_1hHlVrybFSY5JvDKRGGC351WpISPRA1x[[#This Row],[incomeTaxExpense]]/income_statement?symbol_AAPL_apikey_1hHlVrybFSY5JvDKRGGC351WpISPRA1x[[#This Row],[incomeBeforeTax]]</calculatedColumnFormula>
    </tableColumn>
    <tableColumn id="69" xr3:uid="{4522A66E-9C2B-49C9-B6A6-EF963C1F265E}" uniqueName="69" name="netIncomeFromContinuingOperations" queryTableFieldId="69" dataDxfId="7" dataCellStyle="Moneda"/>
    <tableColumn id="70" xr3:uid="{1B00A53A-2DC8-4126-A566-1A85CCE677CB}" uniqueName="70" name="netIncomeFromDiscontinuedOperations" queryTableFieldId="70" dataDxfId="6" dataCellStyle="Moneda"/>
    <tableColumn id="71" xr3:uid="{A7C1A6EF-312C-4ECB-827A-08C176966C62}" uniqueName="71" name="otherAdjustmentsToNetIncome" queryTableFieldId="71" dataDxfId="5" dataCellStyle="Moneda"/>
    <tableColumn id="72" xr3:uid="{34C34729-0E8D-4903-925F-B3FD59FE9FAF}" uniqueName="72" name="netIncome" queryTableFieldId="72" dataDxfId="4" dataCellStyle="Moneda"/>
    <tableColumn id="73" xr3:uid="{E9EDB023-423D-459E-96F4-AED03AF6528A}" uniqueName="73" name="netIncomeDeductions" queryTableFieldId="73" dataDxfId="3" dataCellStyle="Moneda"/>
    <tableColumn id="74" xr3:uid="{3B77865D-B0C6-430F-B148-6120B4935D6C}" uniqueName="74" name="bottomLineNetIncome" queryTableFieldId="74" dataDxfId="2" dataCellStyle="Moneda"/>
    <tableColumn id="75" xr3:uid="{8829139C-2C84-4EA7-9CAB-3F930F595D4E}" uniqueName="75" name="eps" queryTableFieldId="75"/>
    <tableColumn id="76" xr3:uid="{1876B53C-DF27-4913-BF42-17D4FBEA734C}" uniqueName="76" name="epsDiluted" queryTableFieldId="76"/>
    <tableColumn id="77" xr3:uid="{247F5426-BB15-4DA5-B410-A2875A7620AA}" uniqueName="77" name="weightedAverageShsOut" queryTableFieldId="77"/>
    <tableColumn id="78" xr3:uid="{2BB54BFB-986E-41FB-B339-8A50C6C00628}" uniqueName="78" name="weightedAverageShsOutDil" queryTableFieldId="7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714FC19-671D-4851-B6C6-F207107CC9EA}">
  <we:reference id="wa200003535" version="1.3.0.0" store="en-US" storeType="OMEX"/>
  <we:alternateReferences>
    <we:reference id="WA200003535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_xldudf_FMP_CUSTOMFUNCTION</we:customFunctionIds>
        <we:customFunctionIds>_xldudf_FMP_CUSTOMJSON</we:customFunctionIds>
        <we:customFunctionIds>_xldudf_FMP_FINANCIALSTATEMENTSYMBOLLISTS</we:customFunctionIds>
        <we:customFunctionIds>_xldudf_FMP_INCOMESTATEMENT</we:customFunctionIds>
        <we:customFunctionIds>_xldudf_FMP_BALANCESHEETSTATEMENT</we:customFunctionIds>
        <we:customFunctionIds>_xldudf_FMP_CASHFLOWSTATEMENT</we:customFunctionIds>
        <we:customFunctionIds>_xldudf_FMP_INCOMESTATEMENTASREPORTED</we:customFunctionIds>
        <we:customFunctionIds>_xldudf_FMP_BALANCESHEETSTATEMENTASREPORTED</we:customFunctionIds>
        <we:customFunctionIds>_xldudf_FMP_CASHFLOWSTATEMENTASREPORTED</we:customFunctionIds>
        <we:customFunctionIds>_xldudf_FMP_FINANCIALSTATEMENTFULLASREPORTED</we:customFunctionIds>
        <we:customFunctionIds>_xldudf_FMP_FINANCIALSTATEMENTS</we:customFunctionIds>
        <we:customFunctionIds>_xldudf_FMP_FINANCIALREPORTSDATES</we:customFunctionIds>
        <we:customFunctionIds>_xldudf_FMP_FINANCIALREPORTSJSON</we:customFunctionIds>
        <we:customFunctionIds>_xldudf_FMP_FINANCIALREPORTSXLSX</we:customFunctionIds>
        <we:customFunctionIds>_xldudf_FMP_SHARESFLOAT</we:customFunctionIds>
        <we:customFunctionIds>_xldudf_FMP_RSSFEEDS</we:customFunctionIds>
        <we:customFunctionIds>_xldudf_FMP_RSSFEEDSV4</we:customFunctionIds>
        <we:customFunctionIds>_xldudf_FMP_EARNINGCALLTRANSCRIPT</we:customFunctionIds>
        <we:customFunctionIds>_xldudf_FMP_SECFILINGS</we:customFunctionIds>
        <we:customFunctionIds>_xldudf_FMP_RATIOSTTM</we:customFunctionIds>
        <we:customFunctionIds>_xldudf_FMP_RATIOS</we:customFunctionIds>
        <we:customFunctionIds>_xldudf_FMP_ENTERPRISEVALUES</we:customFunctionIds>
        <we:customFunctionIds>_xldudf_FMP_INCOMESTATEMENTGROWTH</we:customFunctionIds>
        <we:customFunctionIds>_xldudf_FMP_KEYMETRICSTTM</we:customFunctionIds>
        <we:customFunctionIds>_xldudf_FMP_KEYMETRICS</we:customFunctionIds>
        <we:customFunctionIds>_xldudf_FMP_FINANCIALGROWTH</we:customFunctionIds>
        <we:customFunctionIds>_xldudf_FMP_RATING</we:customFunctionIds>
        <we:customFunctionIds>_xldudf_FMP_HISTORICALRATING</we:customFunctionIds>
        <we:customFunctionIds>_xldudf_FMP_COMPANYDISCOUNTEDCASHFLOW</we:customFunctionIds>
        <we:customFunctionIds>_xldudf_FMP_HISTORICALDISCOUNTEDCASHFLOWSTATEMENT</we:customFunctionIds>
        <we:customFunctionIds>_xldudf_FMP_HISTORICALDAILYDISCOUNTEDCASHFLOW</we:customFunctionIds>
        <we:customFunctionIds>_xldudf_FMP_EARNINGCALENDAR</we:customFunctionIds>
        <we:customFunctionIds>_xldudf_FMP_HISTORICALEARNINGCALENDAR</we:customFunctionIds>
        <we:customFunctionIds>_xldudf_FMP_IPOCALENDAR</we:customFunctionIds>
        <we:customFunctionIds>_xldudf_FMP_STOCKSPLITCALENDAR</we:customFunctionIds>
        <we:customFunctionIds>_xldudf_FMP_STOCKDIVIDENDCALENDAR</we:customFunctionIds>
        <we:customFunctionIds>_xldudf_FMP_ECONOMICCALENDAR</we:customFunctionIds>
        <we:customFunctionIds>_xldudf_FMP_SEARCH</we:customFunctionIds>
        <we:customFunctionIds>_xldudf_FMP_SEARCHTICKER</we:customFunctionIds>
        <we:customFunctionIds>_xldudf_FMP_STOCKSCREENER</we:customFunctionIds>
        <we:customFunctionIds>_xldudf_FMP_GETALLCOUNTRIES</we:customFunctionIds>
        <we:customFunctionIds>_xldudf_FMP_PROFILE</we:customFunctionIds>
        <we:customFunctionIds>_xldudf_FMP_KEYEXECUTIVES</we:customFunctionIds>
        <we:customFunctionIds>_xldudf_FMP_MARKETCAPITALIZATION</we:customFunctionIds>
        <we:customFunctionIds>_xldudf_FMP_HISTORICALMARKETCAPITALIZATION</we:customFunctionIds>
        <we:customFunctionIds>_xldudf_FMP_COMPANYOUTLOOK</we:customFunctionIds>
        <we:customFunctionIds>_xldudf_FMP_STOCKPEERS</we:customFunctionIds>
        <we:customFunctionIds>_xldudf_FMP_ISTHEMARKETOPEN</we:customFunctionIds>
        <we:customFunctionIds>_xldudf_FMP_GETMARKETHOLIDAYS</we:customFunctionIds>
        <we:customFunctionIds>_xldudf_FMP_DELISTEDCOMPANIES</we:customFunctionIds>
        <we:customFunctionIds>_xldudf_FMP_ARTICLESINFO</we:customFunctionIds>
        <we:customFunctionIds>_xldudf_FMP_ARTICLES</we:customFunctionIds>
        <we:customFunctionIds>_xldudf_FMP_STOCKNEWS</we:customFunctionIds>
        <we:customFunctionIds>_xldudf_FMP_PRESSRELEASES</we:customFunctionIds>
        <we:customFunctionIds>_xldudf_FMP_SECTORPRICEEARNINGRATIO</we:customFunctionIds>
        <we:customFunctionIds>_xldudf_FMP_INDUSTRYPRICEEARNINGRATIO</we:customFunctionIds>
        <we:customFunctionIds>_xldudf_FMP_STOCKSECTORSPERFORMANCE</we:customFunctionIds>
        <we:customFunctionIds>_xldudf_FMP_HISTORICALSECTORSPERFORMANCE</we:customFunctionIds>
        <we:customFunctionIds>_xldudf_FMP_GAINERS</we:customFunctionIds>
        <we:customFunctionIds>_xldudf_FMP_LOSERS</we:customFunctionIds>
        <we:customFunctionIds>_xldudf_FMP_ACTIVES</we:customFunctionIds>
        <we:customFunctionIds>_xldudf_FMP_STANDARDINDUSTRIALCLASSIFICATION</we:customFunctionIds>
        <we:customFunctionIds>_xldudf_FMP_STANDARDINDUSTRIALCLASSIFICATIONLIST</we:customFunctionIds>
        <we:customFunctionIds>_xldudf_FMP_COMMITMENTOFTRADERSREPORTLIST</we:customFunctionIds>
        <we:customFunctionIds>_xldudf_FMP_COMMITMENTOFTRADERSREPORT</we:customFunctionIds>
        <we:customFunctionIds>_xldudf_FMP_COMMITMENTOFTRADERSREPORTANALYSIS</we:customFunctionIds>
        <we:customFunctionIds>_xldudf_FMP_SOCIALSENTIMENT</we:customFunctionIds>
        <we:customFunctionIds>_xldudf_FMP_GRADE</we:customFunctionIds>
        <we:customFunctionIds>_xldudf_FMP_EARNINGSSURPRISES</we:customFunctionIds>
        <we:customFunctionIds>_xldudf_FMP_ANALYSTESTIMATES</we:customFunctionIds>
        <we:customFunctionIds>_xldudf_FMP_INSIDERTRADING</we:customFunctionIds>
        <we:customFunctionIds>_xldudf_FMP_INSIDERTRADINGTRANSACTIONTYPE</we:customFunctionIds>
        <we:customFunctionIds>_xldudf_FMP_MAPPERCIKNAME</we:customFunctionIds>
        <we:customFunctionIds>_xldudf_FMP_MAPPERCIKCOMPANY</we:customFunctionIds>
        <we:customFunctionIds>_xldudf_FMP_INSIDERTRADINGRSSFEED</we:customFunctionIds>
        <we:customFunctionIds>_xldudf_FMP_FAILTODELIVER</we:customFunctionIds>
        <we:customFunctionIds>_xldudf_FMP_QUOTE</we:customFunctionIds>
        <we:customFunctionIds>_xldudf_FMP_QUOTESHORT</we:customFunctionIds>
        <we:customFunctionIds>_xldudf_FMP_QUOTES</we:customFunctionIds>
        <we:customFunctionIds>_xldudf_FMP_HISTORICALCHART</we:customFunctionIds>
        <we:customFunctionIds>_xldudf_FMP_HISTORICALPRICEFULL</we:customFunctionIds>
        <we:customFunctionIds>_xldudf_FMP_HISTORICALPRICEFULLSTOCKDIVIDEND</we:customFunctionIds>
        <we:customFunctionIds>_xldudf_FMP_HISTORICALPRICEFULLSTOCKSPLIT</we:customFunctionIds>
        <we:customFunctionIds>_xldudf_FMP_HISTORICALPRICEFULLV4</we:customFunctionIds>
        <we:customFunctionIds>_xldudf_FMP_TECHNICALINDICATOR</we:customFunctionIds>
        <we:customFunctionIds>_xldudf_FMP_ETFHOLDER</we:customFunctionIds>
        <we:customFunctionIds>_xldudf_FMP_INSTITUTIONALHOLDER</we:customFunctionIds>
        <we:customFunctionIds>_xldudf_FMP_MUTUALFUNDHOLDER</we:customFunctionIds>
        <we:customFunctionIds>_xldudf_FMP_ETFSECTORWEIGHTINGS</we:customFunctionIds>
        <we:customFunctionIds>_xldudf_FMP_ETFCOUNTRYWEIGHTINGS</we:customFunctionIds>
        <we:customFunctionIds>_xldudf_FMP_CIKLIST</we:customFunctionIds>
        <we:customFunctionIds>_xldudf_FMP_CIKSEARCH</we:customFunctionIds>
        <we:customFunctionIds>_xldudf_FMP_CIK</we:customFunctionIds>
        <we:customFunctionIds>_xldudf_FMP_FORMTHIRTEEN</we:customFunctionIds>
        <we:customFunctionIds>_xldudf_FMP_FORMTHIRTEENDATE</we:customFunctionIds>
        <we:customFunctionIds>_xldudf_FMP_CUSIP</we:customFunctionIds>
        <we:customFunctionIds>_xldudf_FMP_STOCKLIST</we:customFunctionIds>
        <we:customFunctionIds>_xldudf_FMP_AVAILABLETRADEDLIST</we:customFunctionIds>
        <we:customFunctionIds>_xldudf_FMP_ETFLIST</we:customFunctionIds>
        <we:customFunctionIds>_xldudf_FMP_BATCHREQUESTENDOFDAYPRICES</we:customFunctionIds>
        <we:customFunctionIds>_xldudf_FMP_INCOMESTATEMENTBULK</we:customFunctionIds>
        <we:customFunctionIds>_xldudf_FMP_BALANCESHEETSTATEMENTBULK</we:customFunctionIds>
        <we:customFunctionIds>_xldudf_FMP_CASHFLOWSTATEMENTBULK</we:customFunctionIds>
        <we:customFunctionIds>_xldudf_FMP_RATIOSBULK</we:customFunctionIds>
        <we:customFunctionIds>_xldudf_FMP_KEYMETRICSBULK</we:customFunctionIds>
        <we:customFunctionIds>_xldudf_FMP_EARNINGSSURPRISESBULK</we:customFunctionIds>
        <we:customFunctionIds>_xldudf_FMP_PROFILEALL</we:customFunctionIds>
        <we:customFunctionIds>_xldudf_FMP_SP500CONSTITUENT</we:customFunctionIds>
        <we:customFunctionIds>_xldudf_FMP_HISTORICALSP500CONSTITUENT</we:customFunctionIds>
        <we:customFunctionIds>_xldudf_FMP_NASDAQCONSTITUENT</we:customFunctionIds>
        <we:customFunctionIds>_xldudf_FMP_DOWJONESCONSTITUENT</we:customFunctionIds>
        <we:customFunctionIds>_xldudf_FMP_HISTORICALDOWJONESCONSTITUENT</we:customFunctionIds>
        <we:customFunctionIds>_xldudf_FMP_SYMBOL</we:customFunctionIds>
        <we:customFunctionIds>_xldudf_FMP_FX</we:customFunctionIds>
        <we:customFunctionIds>_xldudf_FMP_SEARCHNAME</we:customFunctionIds>
        <we:customFunctionIds>_xldudf_FMP_SYMBOLCHANGE</we:customFunctionIds>
        <we:customFunctionIds>_xldudf_FMP_EXECUTIVECOMPENSATION</we:customFunctionIds>
        <we:customFunctionIds>_xldudf_FMP_EXECUTIVECOMPENSATIONBENCHMARK</we:customFunctionIds>
        <we:customFunctionIds>_xldudf_FMP_COMPANYNOTES</we:customFunctionIds>
        <we:customFunctionIds>_xldudf_FMP_HISTORICALEMPLOYEE</we:customFunctionIds>
        <we:customFunctionIds>_xldudf_FMP_EMPLOYEECOUNT</we:customFunctionIds>
        <we:customFunctionIds>_xldudf_FMP_COMPANYCOREINFORMATION</we:customFunctionIds>
        <we:customFunctionIds>_xldudf_FMP_ANALYSTRECOMMENDATION</we:customFunctionIds>
        <we:customFunctionIds>_xldudf_FMP_HISTORICALSHAREFLOAT</we:customFunctionIds>
        <we:customFunctionIds>_xldudf_FMP_QUOTEORDER</we:customFunctionIds>
        <we:customFunctionIds>_xldudf_FMP_OTCQUOTE</we:customFunctionIds>
        <we:customFunctionIds>_xldudf_FMP_STOCKPRICECHANGE</we:customFunctionIds>
        <we:customFunctionIds>_xldudf_FMP_AFTERMARKETTRADE</we:customFunctionIds>
        <we:customFunctionIds>_xldudf_FMP_AFTERMARKETQUOTE</we:customFunctionIds>
        <we:customFunctionIds>_xldudf_FMP_BATCHQUOTE</we:customFunctionIds>
        <we:customFunctionIds>_xldudf_FMP_BATCHTRADE</we:customFunctionIds>
        <we:customFunctionIds>_xldudf_FMP_LASTFOREX</we:customFunctionIds>
        <we:customFunctionIds>_xldudf_FMP_LASTCRYPTO</we:customFunctionIds>
        <we:customFunctionIds>_xldudf_FMP_REALTIMEPRICE</we:customFunctionIds>
        <we:customFunctionIds>_xldudf_FMP_LIVEFULLPRICE</we:customFunctionIds>
        <we:customFunctionIds>_xldudf_FMP_CASHFLOWGROWTH</we:customFunctionIds>
        <we:customFunctionIds>_xldudf_FMP_BALANCESHEETGROWTH</we:customFunctionIds>
        <we:customFunctionIds>_xldudf_FMP_FINANCIALSCORE</we:customFunctionIds>
        <we:customFunctionIds>_xldudf_FMP_OWNEREARNINGS</we:customFunctionIds>
        <we:customFunctionIds>_xldudf_FMP_DISCOUNTEDCASHFLOW</we:customFunctionIds>
        <we:customFunctionIds>_xldudf_FMP_ADVANCEDDCF</we:customFunctionIds>
        <we:customFunctionIds>_xldudf_FMP_LEVEREDDCF</we:customFunctionIds>
        <we:customFunctionIds>_xldudf_FMP_PRICETARGET</we:customFunctionIds>
        <we:customFunctionIds>_xldudf_FMP_PRICETARGETSUMMARY</we:customFunctionIds>
        <we:customFunctionIds>_xldudf_FMP_PRICETARGETBYNAME</we:customFunctionIds>
        <we:customFunctionIds>_xldudf_FMP_PRICETARGETBYCOMPANY</we:customFunctionIds>
        <we:customFunctionIds>_xldudf_FMP_PRICETARGETCONSENSUS</we:customFunctionIds>
        <we:customFunctionIds>_xldudf_FMP_PRICETARGETRSSFEED</we:customFunctionIds>
        <we:customFunctionIds>_xldudf_FMP_UPGRADESDOWNGRADES</we:customFunctionIds>
        <we:customFunctionIds>_xldudf_FMP_UPGRADESDOWNGRADESCONSENSUS</we:customFunctionIds>
        <we:customFunctionIds>_xldudf_FMP_UPGRADESDOWNGRADESBYCOMPANY</we:customFunctionIds>
        <we:customFunctionIds>_xldudf_FMP_ARTICLESV3</we:customFunctionIds>
        <we:customFunctionIds>_xldudf_FMP_ARTICLESINFOV3</we:customFunctionIds>
        <we:customFunctionIds>_xldudf_FMP_GENERALNEWS</we:customFunctionIds>
        <we:customFunctionIds>_xldudf_FMP_STOCKNEWSSENTIMENTS</we:customFunctionIds>
        <we:customFunctionIds>_xldudf_FMP_FOREXNEWS</we:customFunctionIds>
        <we:customFunctionIds>_xldudf_FMP_CRYPTONEWS</we:customFunctionIds>
        <we:customFunctionIds>_xldudf_FMP_HISTORICALSOCIALSENTIMENT</we:customFunctionIds>
        <we:customFunctionIds>_xldudf_FMP_TRENDINGSOCIALSENTIMENT</we:customFunctionIds>
        <we:customFunctionIds>_xldudf_FMP_SOCIALSENTIMENTCHANGES</we:customFunctionIds>
        <we:customFunctionIds>_xldudf_FMP_TRANSCRIPTDATES</we:customFunctionIds>
        <we:customFunctionIds>_xldudf_FMP_BATCHEARNINGCALLTRANSCRIPT</we:customFunctionIds>
        <we:customFunctionIds>_xldudf_FMP_RSSFEED8K</we:customFunctionIds>
        <we:customFunctionIds>_xldudf_FMP_INDUSTRYCLASSIFICATIONALL</we:customFunctionIds>
        <we:customFunctionIds>_xldudf_FMP_SHARESFLOATALL</we:customFunctionIds>
        <we:customFunctionIds>_xldudf_FMP_EARNINGSCONFIRMED</we:customFunctionIds>
        <we:customFunctionIds>_xldudf_FMP_IPOCONFIRMED</we:customFunctionIds>
        <we:customFunctionIds>_xldudf_FMP_IPOPROSPECTUS</we:customFunctionIds>
        <we:customFunctionIds>_xldudf_FMP_MERGERSACQUISITIONSRSSFEED</we:customFunctionIds>
        <we:customFunctionIds>_xldudf_FMP_MERGERSACQUISITIONSSEARCH</we:customFunctionIds>
        <we:customFunctionIds>_xldudf_FMP_ETFHOLDINGDATES</we:customFunctionIds>
        <we:customFunctionIds>_xldudf_FMP_ETFHOLDINGS</we:customFunctionIds>
        <we:customFunctionIds>_xldudf_FMP_ETFINFORMATION</we:customFunctionIds>
        <we:customFunctionIds>_xldudf_FMP_ETFSECTOREXPOSURE</we:customFunctionIds>
        <we:customFunctionIds>_xldudf_FMP_MUTUALFUNDDATES</we:customFunctionIds>
        <we:customFunctionIds>_xldudf_FMP_MUTUALFUNDS</we:customFunctionIds>
        <we:customFunctionIds>_xldudf_FMP_MUTUALFUNDBYNAME</we:customFunctionIds>
        <we:customFunctionIds>_xldudf_FMP_ESGSEARCH</we:customFunctionIds>
        <we:customFunctionIds>_xldudf_FMP_ESGRATINGS</we:customFunctionIds>
        <we:customFunctionIds>_xldudf_FMP_ESGBENCHMARK</we:customFunctionIds>
        <we:customFunctionIds>_xldudf_FMP_SENATETRADING</we:customFunctionIds>
        <we:customFunctionIds>_xldudf_FMP_SENATETRADINGRSSFEED</we:customFunctionIds>
        <we:customFunctionIds>_xldudf_FMP_HOUSEDISCLOSURE</we:customFunctionIds>
        <we:customFunctionIds>_xldudf_FMP_HOUSEDISCLOSURERSSFEED</we:customFunctionIds>
        <we:customFunctionIds>_xldudf_FMP_SECTORPERFORMANCE</we:customFunctionIds>
        <we:customFunctionIds>_xldudf_FMP_MARKETBIGGESTGAINERS</we:customFunctionIds>
        <we:customFunctionIds>_xldudf_FMP_MARKETBIGGESTLOSERS</we:customFunctionIds>
        <we:customFunctionIds>_xldudf_FMP_MARKETMOSTACTIVE</we:customFunctionIds>
        <we:customFunctionIds>_xldudf_FMP_ASSETALLOCATION13F</we:customFunctionIds>
        <we:customFunctionIds>_xldudf_FMP_ASSETALLOCATIONDATES13F</we:customFunctionIds>
        <we:customFunctionIds>_xldudf_FMP_INSTITUTIONALHOLDERSLIST</we:customFunctionIds>
        <we:customFunctionIds>_xldudf_FMP_INSTITUTIONALHOLDERSSEARCH</we:customFunctionIds>
        <we:customFunctionIds>_xldudf_FMP_PORTFOLIOHOLDINGSDATES</we:customFunctionIds>
        <we:customFunctionIds>_xldudf_FMP_INSTITUTIONALHOLDERRSS</we:customFunctionIds>
        <we:customFunctionIds>_xldudf_FMP_INSTITUTIONALSTOCKOWNERSHIP</we:customFunctionIds>
        <we:customFunctionIds>_xldudf_FMP_STOCKOWNERSHIPBYHOLDERS</we:customFunctionIds>
        <we:customFunctionIds>_xldudf_FMP_PORTFOLIOHOLDINGSSUMMARY</we:customFunctionIds>
        <we:customFunctionIds>_xldudf_FMP_INDUSTRYOWNERSHIPSUMMARY</we:customFunctionIds>
        <we:customFunctionIds>_xldudf_FMP_TRANSACTIONTYPES</we:customFunctionIds>
        <we:customFunctionIds>_xldudf_FMP_INSIDERSBYSYMBOL</we:customFunctionIds>
        <we:customFunctionIds>_xldudf_FMP_INSIDERTRADESTATISTICS</we:customFunctionIds>
        <we:customFunctionIds>_xldudf_FMP_CROWDFUNDINGRSS</we:customFunctionIds>
        <we:customFunctionIds>_xldudf_FMP_CROWDFUNDINGSEARCH</we:customFunctionIds>
        <we:customFunctionIds>_xldudf_FMP_CROWDFUNDINGBYCIK</we:customFunctionIds>
        <we:customFunctionIds>_xldudf_FMP_EQUITYOFFERINGRSS</we:customFunctionIds>
        <we:customFunctionIds>_xldudf_FMP_EQUITYOFFERINGSEARCH</we:customFunctionIds>
        <we:customFunctionIds>_xldudf_FMP_EQUITYOFFERINGBYCIK</we:customFunctionIds>
        <we:customFunctionIds>_xldudf_FMP_TREASURYRATES</we:customFunctionIds>
        <we:customFunctionIds>_xldudf_FMP_ECONOMICINDICATORS</we:customFunctionIds>
        <we:customFunctionIds>_xldudf_FMP_MARKETRISKPREMIUM</we:customFunctionIds>
        <we:customFunctionIds>_xldudf_FMP_FULLQUOTECOMMODITIES</we:customFunctionIds>
        <we:customFunctionIds>_xldudf_FMP_FULLQUOTEFOREX</we:customFunctionIds>
        <we:customFunctionIds>_xldudf_FMP_FULLQUOTECRYPTO</we:customFunctionIds>
        <we:customFunctionIds>_xldudf_FMP_HISTORICALNASDAQCONSTITUENTS</we:customFunctionIds>
        <we:customFunctionIds>_xldudf_FMP_REVENUEPRODUCTSEGMENTATION</we:customFunctionIds>
        <we:customFunctionIds>_xldudf_FMP_REVENUEGEOSEGMENTATION</we:customFunctionIds>
        <we:customFunctionIds>_xldudf_FMP_BULKSTOCKPEERS</we:customFunctionIds>
        <we:customFunctionIds>_xldudf_FMP_BULKRATINGS</we:customFunctionIds>
        <we:customFunctionIds>_xldudf_FMP_ALLLATESTDCF</we:customFunctionIds>
        <we:customFunctionIds>_xldudf_FMP_BULKKEYMETRICSTTM</we:customFunctionIds>
        <we:customFunctionIds>_xldudf_FMP_BULKRATIOTTM</we:customFunctionIds>
        <we:customFunctionIds>_xldudf_FMP_BULKSCORES</we:customFunctionIds>
        <we:customFunctionIds>_xldudf_FMP_BULKFINANCIALGROWTH</we:customFunctionIds>
        <we:customFunctionIds>_xldudf_FMP_BULKINCOMESTATEMENTSGROWTH</we:customFunctionIds>
        <we:customFunctionIds>_xldudf_FMP_BULKBALANCESHEETGROWTH</we:customFunctionIds>
        <we:customFunctionIds>_xldudf_FMP_BULKCASHFLOWSTATEMENTSGROWTH</we:customFunctionIds>
        <we:customFunctionIds>_xldudf_FMP_BULKPRICETARGETSUMMARY</we:customFunctionIds>
        <we:customFunctionIds>_xldudf_FMP_BULKUPGRADESDOWNGRADESCONSENSUS</we:customFunctionIds>
        <we:customFunctionIds>_xldudf_FMP_BULKETFHOLDERS</we:customFunctionIds>
        <we:customFunctionIds>_xldudf_FMP_SEARCHISIN</we:customFunctionIds>
        <we:customFunctionIds>_xldudf_FMP_IMAGESTOCK</we:customFunctionIds>
        <we:customFunctionIds>_xldudf_FMP_SECTORSLIST</we:customFunctionIds>
        <we:customFunctionIds>_xldudf_FMP_INDUSTRIESLIST</we:customFunctionIds>
        <we:customFunctionIds>_xldudf_FMP_EXCHANGESLIST</we:customFunctionIds>
        <we:customFunctionIds>_xldudf_FMP_ACQUISITIONOFBENEFICIALOWNERSHIP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finance.yahoo.com/quote/CVX/key-statistics/?utm_source=chatgpt.com" TargetMode="External"/><Relationship Id="rId2" Type="http://schemas.openxmlformats.org/officeDocument/2006/relationships/hyperlink" Target="https://www.marketwatch.com/data-news/chevron-corp-stock-outperforms-competitors-on-strong-trading-day-fb9ecbbc-520ec3f9d302?utm_source=chatgpt.com" TargetMode="External"/><Relationship Id="rId1" Type="http://schemas.openxmlformats.org/officeDocument/2006/relationships/hyperlink" Target="https://www.macrotrends.net/stocks/charts/CVX/chevron/revenue?utm_source=chatgpt.com" TargetMode="External"/><Relationship Id="rId4" Type="http://schemas.openxmlformats.org/officeDocument/2006/relationships/hyperlink" Target="https://finance.yahoo.com/quote/TTE.PA/key-statistics/?utm_source=chatgpt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0393-7918-4EA2-A959-D2C4188FB962}">
  <dimension ref="A1:AU6"/>
  <sheetViews>
    <sheetView topLeftCell="AL1" workbookViewId="0">
      <selection activeCell="AO28" sqref="AO28"/>
    </sheetView>
  </sheetViews>
  <sheetFormatPr baseColWidth="10" defaultRowHeight="14.4" x14ac:dyDescent="0.3"/>
  <cols>
    <col min="1" max="1" width="10.33203125" bestFit="1" customWidth="1"/>
    <col min="2" max="2" width="9.33203125" bestFit="1" customWidth="1"/>
    <col min="3" max="3" width="18.109375" bestFit="1" customWidth="1"/>
    <col min="4" max="4" width="11" bestFit="1" customWidth="1"/>
    <col min="5" max="5" width="11.33203125" bestFit="1" customWidth="1"/>
    <col min="6" max="6" width="18" bestFit="1" customWidth="1"/>
    <col min="7" max="7" width="11.109375" bestFit="1" customWidth="1"/>
    <col min="8" max="8" width="8.6640625" bestFit="1" customWidth="1"/>
    <col min="9" max="9" width="12.6640625" bestFit="1" customWidth="1"/>
    <col min="10" max="10" width="28.33203125" bestFit="1" customWidth="1"/>
    <col min="11" max="11" width="19.6640625" bestFit="1" customWidth="1"/>
    <col min="12" max="12" width="25.109375" bestFit="1" customWidth="1"/>
    <col min="13" max="13" width="24.109375" bestFit="1" customWidth="1"/>
    <col min="14" max="14" width="20.6640625" bestFit="1" customWidth="1"/>
    <col min="15" max="15" width="11.6640625" bestFit="1" customWidth="1"/>
    <col min="16" max="16" width="18.33203125" bestFit="1" customWidth="1"/>
    <col min="17" max="17" width="20.6640625" bestFit="1" customWidth="1"/>
    <col min="18" max="18" width="20.109375" bestFit="1" customWidth="1"/>
    <col min="19" max="19" width="36" bestFit="1" customWidth="1"/>
    <col min="20" max="20" width="40" bestFit="1" customWidth="1"/>
    <col min="21" max="21" width="16.109375" bestFit="1" customWidth="1"/>
    <col min="22" max="22" width="24.33203125" bestFit="1" customWidth="1"/>
    <col min="23" max="23" width="28.33203125" bestFit="1" customWidth="1"/>
    <col min="24" max="24" width="23.109375" bestFit="1" customWidth="1"/>
    <col min="25" max="25" width="35.33203125" bestFit="1" customWidth="1"/>
    <col min="26" max="26" width="17.33203125" bestFit="1" customWidth="1"/>
    <col min="27" max="27" width="25.6640625" bestFit="1" customWidth="1"/>
    <col min="28" max="28" width="26.33203125" bestFit="1" customWidth="1"/>
    <col min="29" max="29" width="17.88671875" bestFit="1" customWidth="1"/>
    <col min="30" max="30" width="25.88671875" bestFit="1" customWidth="1"/>
    <col min="31" max="31" width="22.6640625" bestFit="1" customWidth="1"/>
    <col min="32" max="32" width="26.5546875" bestFit="1" customWidth="1"/>
    <col min="33" max="33" width="26" bestFit="1" customWidth="1"/>
    <col min="34" max="34" width="17.88671875" bestFit="1" customWidth="1"/>
    <col min="35" max="35" width="22.6640625" bestFit="1" customWidth="1"/>
    <col min="36" max="36" width="23.109375" bestFit="1" customWidth="1"/>
    <col min="37" max="37" width="23.5546875" bestFit="1" customWidth="1"/>
    <col min="38" max="38" width="35.6640625" bestFit="1" customWidth="1"/>
    <col min="39" max="39" width="28.5546875" bestFit="1" customWidth="1"/>
    <col min="40" max="40" width="18" bestFit="1" customWidth="1"/>
    <col min="41" max="41" width="19.6640625" bestFit="1" customWidth="1"/>
    <col min="42" max="42" width="24.88671875" bestFit="1" customWidth="1"/>
    <col min="43" max="43" width="19.33203125" bestFit="1" customWidth="1"/>
    <col min="44" max="44" width="19" bestFit="1" customWidth="1"/>
    <col min="45" max="45" width="14.44140625" bestFit="1" customWidth="1"/>
    <col min="46" max="46" width="17.6640625" bestFit="1" customWidth="1"/>
    <col min="47" max="47" width="13.33203125" bestFit="1" customWidth="1"/>
  </cols>
  <sheetData>
    <row r="1" spans="1:47" x14ac:dyDescent="0.3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116</v>
      </c>
      <c r="J1" t="s">
        <v>105</v>
      </c>
      <c r="K1" t="s">
        <v>142</v>
      </c>
      <c r="L1" t="s">
        <v>143</v>
      </c>
      <c r="M1" t="s">
        <v>144</v>
      </c>
      <c r="N1" t="s">
        <v>145</v>
      </c>
      <c r="O1" t="s">
        <v>146</v>
      </c>
      <c r="P1" t="s">
        <v>147</v>
      </c>
      <c r="Q1" t="s">
        <v>148</v>
      </c>
      <c r="R1" t="s">
        <v>149</v>
      </c>
      <c r="S1" t="s">
        <v>150</v>
      </c>
      <c r="T1" t="s">
        <v>151</v>
      </c>
      <c r="U1" t="s">
        <v>152</v>
      </c>
      <c r="V1" t="s">
        <v>153</v>
      </c>
      <c r="W1" t="s">
        <v>154</v>
      </c>
      <c r="X1" t="s">
        <v>155</v>
      </c>
      <c r="Y1" t="s">
        <v>156</v>
      </c>
      <c r="Z1" t="s">
        <v>157</v>
      </c>
      <c r="AA1" t="s">
        <v>158</v>
      </c>
      <c r="AB1" t="s">
        <v>159</v>
      </c>
      <c r="AC1" t="s">
        <v>160</v>
      </c>
      <c r="AD1" t="s">
        <v>161</v>
      </c>
      <c r="AE1" t="s">
        <v>162</v>
      </c>
      <c r="AF1" t="s">
        <v>163</v>
      </c>
      <c r="AG1" t="s">
        <v>164</v>
      </c>
      <c r="AH1" t="s">
        <v>165</v>
      </c>
      <c r="AI1" t="s">
        <v>166</v>
      </c>
      <c r="AJ1" t="s">
        <v>167</v>
      </c>
      <c r="AK1" t="s">
        <v>168</v>
      </c>
      <c r="AL1" t="s">
        <v>169</v>
      </c>
      <c r="AM1" t="s">
        <v>170</v>
      </c>
      <c r="AN1" t="s">
        <v>171</v>
      </c>
      <c r="AO1" t="s">
        <v>172</v>
      </c>
      <c r="AP1" t="s">
        <v>173</v>
      </c>
      <c r="AQ1" t="s">
        <v>174</v>
      </c>
      <c r="AR1" t="s">
        <v>175</v>
      </c>
      <c r="AS1" t="s">
        <v>176</v>
      </c>
      <c r="AT1" t="s">
        <v>177</v>
      </c>
      <c r="AU1" t="s">
        <v>178</v>
      </c>
    </row>
    <row r="2" spans="1:47" x14ac:dyDescent="0.3">
      <c r="A2" t="s">
        <v>123</v>
      </c>
      <c r="B2" t="s">
        <v>124</v>
      </c>
      <c r="C2" t="s">
        <v>77</v>
      </c>
      <c r="D2" t="s">
        <v>125</v>
      </c>
      <c r="E2" t="s">
        <v>126</v>
      </c>
      <c r="F2" t="s">
        <v>127</v>
      </c>
      <c r="G2" t="s">
        <v>78</v>
      </c>
      <c r="H2" t="s">
        <v>79</v>
      </c>
      <c r="I2">
        <v>33680000000</v>
      </c>
      <c r="J2">
        <v>23442000000</v>
      </c>
      <c r="K2">
        <v>-865000000</v>
      </c>
      <c r="L2">
        <v>0</v>
      </c>
      <c r="M2">
        <v>-739000000</v>
      </c>
      <c r="N2">
        <v>-6030000000</v>
      </c>
      <c r="O2">
        <v>-1812000000</v>
      </c>
      <c r="P2">
        <v>5627000000</v>
      </c>
      <c r="Q2">
        <v>1476000000</v>
      </c>
      <c r="R2">
        <v>-496000000</v>
      </c>
      <c r="S2">
        <v>55022000000</v>
      </c>
      <c r="T2">
        <v>-24306000000</v>
      </c>
      <c r="U2">
        <v>0</v>
      </c>
      <c r="V2">
        <v>-3299000000</v>
      </c>
      <c r="W2">
        <v>4987000000</v>
      </c>
      <c r="X2">
        <v>2680000000</v>
      </c>
      <c r="Y2">
        <v>-19938000000</v>
      </c>
      <c r="Z2">
        <v>-5012000000</v>
      </c>
      <c r="AA2">
        <v>-251000000</v>
      </c>
      <c r="AB2">
        <v>-4761000000</v>
      </c>
      <c r="AC2">
        <v>-19629000000</v>
      </c>
      <c r="AD2">
        <v>-19629000000</v>
      </c>
      <c r="AE2">
        <v>0</v>
      </c>
      <c r="AF2">
        <v>-19629000000</v>
      </c>
      <c r="AG2">
        <v>0</v>
      </c>
      <c r="AH2">
        <v>-16704000000</v>
      </c>
      <c r="AI2">
        <v>-16704000000</v>
      </c>
      <c r="AJ2">
        <v>0</v>
      </c>
      <c r="AK2">
        <v>-1444000000</v>
      </c>
      <c r="AL2">
        <v>-42789000000</v>
      </c>
      <c r="AM2">
        <v>-676000000</v>
      </c>
      <c r="AN2">
        <v>-8381000000</v>
      </c>
      <c r="AO2">
        <v>23187000000</v>
      </c>
      <c r="AP2">
        <v>31568000000</v>
      </c>
      <c r="AQ2">
        <v>55022000000</v>
      </c>
      <c r="AR2">
        <v>-24306000000</v>
      </c>
      <c r="AS2">
        <v>30716000000</v>
      </c>
      <c r="AT2">
        <v>13293000000</v>
      </c>
      <c r="AU2">
        <v>624000000</v>
      </c>
    </row>
    <row r="3" spans="1:47" x14ac:dyDescent="0.3">
      <c r="A3" t="s">
        <v>128</v>
      </c>
      <c r="B3" t="s">
        <v>124</v>
      </c>
      <c r="C3" t="s">
        <v>77</v>
      </c>
      <c r="D3" t="s">
        <v>125</v>
      </c>
      <c r="E3" t="s">
        <v>129</v>
      </c>
      <c r="F3" t="s">
        <v>130</v>
      </c>
      <c r="G3" t="s">
        <v>80</v>
      </c>
      <c r="H3" t="s">
        <v>79</v>
      </c>
      <c r="I3">
        <v>36010000000</v>
      </c>
      <c r="J3">
        <v>20641000000</v>
      </c>
      <c r="K3">
        <v>634000000</v>
      </c>
      <c r="L3">
        <v>611000000</v>
      </c>
      <c r="M3">
        <v>-2358000000</v>
      </c>
      <c r="N3">
        <v>4370000000</v>
      </c>
      <c r="O3">
        <v>-3472000000</v>
      </c>
      <c r="P3">
        <v>-4727000000</v>
      </c>
      <c r="Q3">
        <v>1471000000</v>
      </c>
      <c r="R3">
        <v>-169000000</v>
      </c>
      <c r="S3">
        <v>55369000000</v>
      </c>
      <c r="T3">
        <v>-21919000000</v>
      </c>
      <c r="U3">
        <v>3308000000</v>
      </c>
      <c r="V3">
        <v>-2995000000</v>
      </c>
      <c r="W3">
        <v>0</v>
      </c>
      <c r="X3">
        <v>1562000000</v>
      </c>
      <c r="Y3">
        <v>-20044000000</v>
      </c>
      <c r="Z3">
        <v>-239000000</v>
      </c>
      <c r="AA3">
        <v>924000000</v>
      </c>
      <c r="AB3">
        <v>-1163000000</v>
      </c>
      <c r="AC3">
        <v>-17748000000</v>
      </c>
      <c r="AD3">
        <v>-17748000000</v>
      </c>
      <c r="AE3">
        <v>0</v>
      </c>
      <c r="AF3">
        <v>-17748000000</v>
      </c>
      <c r="AG3">
        <v>0</v>
      </c>
      <c r="AH3">
        <v>-14941000000</v>
      </c>
      <c r="AI3">
        <v>-14941000000</v>
      </c>
      <c r="AJ3">
        <v>0</v>
      </c>
      <c r="AK3">
        <v>-599000000</v>
      </c>
      <c r="AL3">
        <v>-33527000000</v>
      </c>
      <c r="AM3">
        <v>105000000</v>
      </c>
      <c r="AN3">
        <v>1903000000</v>
      </c>
      <c r="AO3">
        <v>31568000000</v>
      </c>
      <c r="AP3">
        <v>29665000000</v>
      </c>
      <c r="AQ3">
        <v>55369000000</v>
      </c>
      <c r="AR3">
        <v>-21919000000</v>
      </c>
      <c r="AS3">
        <v>33450000000</v>
      </c>
      <c r="AT3">
        <v>15473000000</v>
      </c>
      <c r="AU3">
        <v>584000000</v>
      </c>
    </row>
    <row r="4" spans="1:47" x14ac:dyDescent="0.3">
      <c r="A4" t="s">
        <v>131</v>
      </c>
      <c r="B4" t="s">
        <v>124</v>
      </c>
      <c r="C4" t="s">
        <v>77</v>
      </c>
      <c r="D4" t="s">
        <v>125</v>
      </c>
      <c r="E4" t="s">
        <v>132</v>
      </c>
      <c r="F4" t="s">
        <v>133</v>
      </c>
      <c r="G4" t="s">
        <v>81</v>
      </c>
      <c r="H4" t="s">
        <v>79</v>
      </c>
      <c r="I4">
        <v>57577000000</v>
      </c>
      <c r="J4">
        <v>24040000000</v>
      </c>
      <c r="K4">
        <v>3758000000</v>
      </c>
      <c r="L4">
        <v>648000000</v>
      </c>
      <c r="M4">
        <v>-194000000</v>
      </c>
      <c r="N4">
        <v>-11019000000</v>
      </c>
      <c r="O4">
        <v>-6947000000</v>
      </c>
      <c r="P4">
        <v>18460000000</v>
      </c>
      <c r="Q4">
        <v>-688000000</v>
      </c>
      <c r="R4">
        <v>-9032000000</v>
      </c>
      <c r="S4">
        <v>76797000000</v>
      </c>
      <c r="T4">
        <v>-18407000000</v>
      </c>
      <c r="U4">
        <v>3772000000</v>
      </c>
      <c r="V4">
        <v>-3090000000</v>
      </c>
      <c r="W4">
        <v>-3772000000</v>
      </c>
      <c r="X4">
        <v>6755000000</v>
      </c>
      <c r="Y4">
        <v>-14742000000</v>
      </c>
      <c r="Z4">
        <v>-7220000000</v>
      </c>
      <c r="AA4">
        <v>632000000</v>
      </c>
      <c r="AB4">
        <v>-7852000000</v>
      </c>
      <c r="AC4">
        <v>-15155000000</v>
      </c>
      <c r="AD4">
        <v>-15155000000</v>
      </c>
      <c r="AE4">
        <v>0</v>
      </c>
      <c r="AF4">
        <v>-15155000000</v>
      </c>
      <c r="AG4">
        <v>0</v>
      </c>
      <c r="AH4">
        <v>-14939000000</v>
      </c>
      <c r="AI4">
        <v>-14939000000</v>
      </c>
      <c r="AJ4">
        <v>0</v>
      </c>
      <c r="AK4">
        <v>-1800000000</v>
      </c>
      <c r="AL4">
        <v>-39114000000</v>
      </c>
      <c r="AM4">
        <v>-78000000</v>
      </c>
      <c r="AN4">
        <v>22863000000</v>
      </c>
      <c r="AO4">
        <v>29665000000</v>
      </c>
      <c r="AP4">
        <v>6802000000</v>
      </c>
      <c r="AQ4">
        <v>76797000000</v>
      </c>
      <c r="AR4">
        <v>-18407000000</v>
      </c>
      <c r="AS4">
        <v>58390000000</v>
      </c>
      <c r="AT4">
        <v>15364000000</v>
      </c>
      <c r="AU4">
        <v>666000000</v>
      </c>
    </row>
    <row r="5" spans="1:47" x14ac:dyDescent="0.3">
      <c r="A5" t="s">
        <v>134</v>
      </c>
      <c r="B5" t="s">
        <v>124</v>
      </c>
      <c r="C5" t="s">
        <v>77</v>
      </c>
      <c r="D5" t="s">
        <v>125</v>
      </c>
      <c r="E5" t="s">
        <v>135</v>
      </c>
      <c r="F5" t="s">
        <v>136</v>
      </c>
      <c r="G5" t="s">
        <v>82</v>
      </c>
      <c r="H5" t="s">
        <v>79</v>
      </c>
      <c r="I5">
        <v>23598000000</v>
      </c>
      <c r="J5">
        <v>20607000000</v>
      </c>
      <c r="K5">
        <v>303000000</v>
      </c>
      <c r="L5">
        <v>612000000</v>
      </c>
      <c r="M5">
        <v>4162000000</v>
      </c>
      <c r="N5">
        <v>-12098000000</v>
      </c>
      <c r="O5">
        <v>-489000000</v>
      </c>
      <c r="P5">
        <v>16820000000</v>
      </c>
      <c r="Q5">
        <v>-71000000</v>
      </c>
      <c r="R5">
        <v>-1153000000</v>
      </c>
      <c r="S5">
        <v>48129000000</v>
      </c>
      <c r="T5">
        <v>-12076000000</v>
      </c>
      <c r="U5">
        <v>2740000000</v>
      </c>
      <c r="V5">
        <v>-2817000000</v>
      </c>
      <c r="W5">
        <v>-2740000000</v>
      </c>
      <c r="X5">
        <v>4658000000</v>
      </c>
      <c r="Y5">
        <v>-10235000000</v>
      </c>
      <c r="Z5">
        <v>-19654000000</v>
      </c>
      <c r="AA5">
        <v>38000000</v>
      </c>
      <c r="AB5">
        <v>-19692000000</v>
      </c>
      <c r="AC5">
        <v>-155000000</v>
      </c>
      <c r="AD5">
        <v>-155000000</v>
      </c>
      <c r="AE5">
        <v>0</v>
      </c>
      <c r="AF5">
        <v>-155000000</v>
      </c>
      <c r="AG5">
        <v>0</v>
      </c>
      <c r="AH5">
        <v>-14924000000</v>
      </c>
      <c r="AI5">
        <v>-14924000000</v>
      </c>
      <c r="AJ5">
        <v>0</v>
      </c>
      <c r="AK5">
        <v>-690000000</v>
      </c>
      <c r="AL5">
        <v>-35423000000</v>
      </c>
      <c r="AM5">
        <v>-33000000</v>
      </c>
      <c r="AN5">
        <v>2438000000</v>
      </c>
      <c r="AO5">
        <v>6802000000</v>
      </c>
      <c r="AP5">
        <v>4364000000</v>
      </c>
      <c r="AQ5">
        <v>48129000000</v>
      </c>
      <c r="AR5">
        <v>-12076000000</v>
      </c>
      <c r="AS5">
        <v>36053000000</v>
      </c>
      <c r="AT5">
        <v>0</v>
      </c>
      <c r="AU5">
        <v>0</v>
      </c>
    </row>
    <row r="6" spans="1:47" x14ac:dyDescent="0.3">
      <c r="A6" t="s">
        <v>137</v>
      </c>
      <c r="B6" t="s">
        <v>124</v>
      </c>
      <c r="C6" t="s">
        <v>77</v>
      </c>
      <c r="D6" t="s">
        <v>125</v>
      </c>
      <c r="E6" t="s">
        <v>138</v>
      </c>
      <c r="F6" t="s">
        <v>139</v>
      </c>
      <c r="G6" t="s">
        <v>83</v>
      </c>
      <c r="H6" t="s">
        <v>79</v>
      </c>
      <c r="I6">
        <v>-23251000000</v>
      </c>
      <c r="J6">
        <v>20709000000</v>
      </c>
      <c r="K6">
        <v>-8856000000</v>
      </c>
      <c r="L6">
        <v>672000000</v>
      </c>
      <c r="M6">
        <v>-1653000000</v>
      </c>
      <c r="N6">
        <v>5384000000</v>
      </c>
      <c r="O6">
        <v>-315000000</v>
      </c>
      <c r="P6">
        <v>-7142000000</v>
      </c>
      <c r="Q6">
        <v>420000000</v>
      </c>
      <c r="R6">
        <v>27047000000</v>
      </c>
      <c r="S6">
        <v>14668000000</v>
      </c>
      <c r="T6">
        <v>-17282000000</v>
      </c>
      <c r="U6">
        <v>999000000</v>
      </c>
      <c r="V6">
        <v>-4857000000</v>
      </c>
      <c r="W6">
        <v>0</v>
      </c>
      <c r="X6">
        <v>2681000000</v>
      </c>
      <c r="Y6">
        <v>-18459000000</v>
      </c>
      <c r="Z6">
        <v>20141000000</v>
      </c>
      <c r="AA6">
        <v>23178000000</v>
      </c>
      <c r="AB6">
        <v>-3037000000</v>
      </c>
      <c r="AC6">
        <v>-405000000</v>
      </c>
      <c r="AD6">
        <v>-405000000</v>
      </c>
      <c r="AE6">
        <v>0</v>
      </c>
      <c r="AF6">
        <v>-405000000</v>
      </c>
      <c r="AG6">
        <v>0</v>
      </c>
      <c r="AH6">
        <v>-14865000000</v>
      </c>
      <c r="AI6">
        <v>-14865000000</v>
      </c>
      <c r="AJ6">
        <v>0</v>
      </c>
      <c r="AK6">
        <v>414000000</v>
      </c>
      <c r="AL6">
        <v>5285000000</v>
      </c>
      <c r="AM6">
        <v>-219000000</v>
      </c>
      <c r="AN6">
        <v>1275000000</v>
      </c>
      <c r="AO6">
        <v>4364000000</v>
      </c>
      <c r="AP6">
        <v>3089000000</v>
      </c>
      <c r="AQ6">
        <v>14668000000</v>
      </c>
      <c r="AR6">
        <v>-17282000000</v>
      </c>
      <c r="AS6">
        <v>-2614000000</v>
      </c>
      <c r="AT6">
        <v>0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C40DE-58A4-43C9-8C15-EE81107EF8F7}">
  <dimension ref="A1:AO6"/>
  <sheetViews>
    <sheetView workbookViewId="0">
      <selection activeCell="AD5" sqref="AD5"/>
    </sheetView>
  </sheetViews>
  <sheetFormatPr baseColWidth="10" defaultRowHeight="14.4" x14ac:dyDescent="0.3"/>
  <cols>
    <col min="1" max="1" width="10.33203125" bestFit="1" customWidth="1"/>
    <col min="2" max="2" width="9.33203125" bestFit="1" customWidth="1"/>
    <col min="3" max="3" width="18.109375" bestFit="1" customWidth="1"/>
    <col min="4" max="4" width="11" bestFit="1" customWidth="1"/>
    <col min="5" max="5" width="11.33203125" bestFit="1" customWidth="1"/>
    <col min="6" max="6" width="18" bestFit="1" customWidth="1"/>
    <col min="7" max="7" width="11.109375" bestFit="1" customWidth="1"/>
    <col min="8" max="8" width="8.6640625" bestFit="1" customWidth="1"/>
    <col min="9" max="9" width="19.33203125" bestFit="1" customWidth="1"/>
    <col min="10" max="11" width="23.5546875" customWidth="1"/>
    <col min="12" max="12" width="19.33203125" bestFit="1" customWidth="1"/>
    <col min="13" max="14" width="33.109375" bestFit="1" customWidth="1"/>
    <col min="15" max="15" width="28.5546875" bestFit="1" customWidth="1"/>
    <col min="16" max="16" width="38.6640625" bestFit="1" customWidth="1"/>
    <col min="17" max="17" width="18.33203125" bestFit="1" customWidth="1"/>
    <col min="18" max="18" width="19.109375" bestFit="1" customWidth="1"/>
    <col min="19" max="19" width="19.33203125" bestFit="1" customWidth="1"/>
    <col min="20" max="20" width="18.88671875" bestFit="1" customWidth="1"/>
    <col min="21" max="21" width="15.88671875" bestFit="1" customWidth="1"/>
    <col min="22" max="22" width="17.33203125" bestFit="1" customWidth="1"/>
    <col min="23" max="23" width="28.33203125" bestFit="1" customWidth="1"/>
    <col min="24" max="24" width="19.33203125" bestFit="1" customWidth="1"/>
    <col min="25" max="25" width="19" bestFit="1" customWidth="1"/>
    <col min="26" max="26" width="36.109375" bestFit="1" customWidth="1"/>
    <col min="27" max="27" width="19" bestFit="1" customWidth="1"/>
    <col min="28" max="28" width="29.33203125" bestFit="1" customWidth="1"/>
    <col min="29" max="29" width="19" bestFit="1" customWidth="1"/>
    <col min="30" max="30" width="19.33203125" bestFit="1" customWidth="1"/>
    <col min="31" max="31" width="19.33203125" customWidth="1"/>
    <col min="32" max="32" width="35.5546875" bestFit="1" customWidth="1"/>
    <col min="33" max="33" width="37.33203125" bestFit="1" customWidth="1"/>
    <col min="34" max="34" width="30.33203125" bestFit="1" customWidth="1"/>
    <col min="35" max="35" width="19" bestFit="1" customWidth="1"/>
    <col min="36" max="36" width="21.88671875" bestFit="1" customWidth="1"/>
    <col min="37" max="37" width="22.44140625" bestFit="1" customWidth="1"/>
    <col min="38" max="38" width="6.109375" bestFit="1" customWidth="1"/>
    <col min="39" max="39" width="12.109375" bestFit="1" customWidth="1"/>
    <col min="40" max="40" width="24.109375" bestFit="1" customWidth="1"/>
    <col min="41" max="41" width="26.33203125" bestFit="1" customWidth="1"/>
    <col min="42" max="42" width="17.44140625" bestFit="1" customWidth="1"/>
    <col min="43" max="43" width="26.44140625" bestFit="1" customWidth="1"/>
    <col min="44" max="44" width="13.6640625" bestFit="1" customWidth="1"/>
    <col min="45" max="45" width="19.44140625" bestFit="1" customWidth="1"/>
    <col min="46" max="46" width="23" bestFit="1" customWidth="1"/>
    <col min="47" max="47" width="19.33203125" bestFit="1" customWidth="1"/>
    <col min="48" max="48" width="16.6640625" bestFit="1" customWidth="1"/>
    <col min="49" max="49" width="18.33203125" bestFit="1" customWidth="1"/>
    <col min="50" max="50" width="24.33203125" bestFit="1" customWidth="1"/>
    <col min="51" max="51" width="20.44140625" bestFit="1" customWidth="1"/>
    <col min="52" max="53" width="41.44140625" bestFit="1" customWidth="1"/>
    <col min="54" max="54" width="36.6640625" bestFit="1" customWidth="1"/>
    <col min="55" max="55" width="47" bestFit="1" customWidth="1"/>
    <col min="56" max="56" width="23.6640625" bestFit="1" customWidth="1"/>
    <col min="57" max="57" width="27.33203125" bestFit="1" customWidth="1"/>
    <col min="58" max="58" width="26.109375" bestFit="1" customWidth="1"/>
    <col min="59" max="59" width="27.109375" bestFit="1" customWidth="1"/>
    <col min="60" max="60" width="24.33203125" bestFit="1" customWidth="1"/>
    <col min="61" max="61" width="24.6640625" bestFit="1" customWidth="1"/>
    <col min="62" max="62" width="36.6640625" bestFit="1" customWidth="1"/>
    <col min="63" max="63" width="16.6640625" bestFit="1" customWidth="1"/>
    <col min="64" max="64" width="14.5546875" bestFit="1" customWidth="1"/>
    <col min="65" max="65" width="44.44140625" bestFit="1" customWidth="1"/>
    <col min="66" max="66" width="26" bestFit="1" customWidth="1"/>
    <col min="67" max="67" width="37.44140625" bestFit="1" customWidth="1"/>
    <col min="68" max="68" width="26.33203125" bestFit="1" customWidth="1"/>
    <col min="69" max="69" width="27.5546875" bestFit="1" customWidth="1"/>
    <col min="70" max="70" width="43.88671875" bestFit="1" customWidth="1"/>
    <col min="71" max="71" width="45.6640625" bestFit="1" customWidth="1"/>
    <col min="72" max="72" width="38.44140625" bestFit="1" customWidth="1"/>
    <col min="73" max="73" width="20.5546875" bestFit="1" customWidth="1"/>
    <col min="74" max="74" width="30.33203125" bestFit="1" customWidth="1"/>
    <col min="75" max="75" width="30.6640625" bestFit="1" customWidth="1"/>
    <col min="76" max="76" width="14.33203125" bestFit="1" customWidth="1"/>
    <col min="77" max="77" width="20.33203125" bestFit="1" customWidth="1"/>
    <col min="78" max="78" width="32.33203125" bestFit="1" customWidth="1"/>
    <col min="79" max="79" width="34.5546875" bestFit="1" customWidth="1"/>
  </cols>
  <sheetData>
    <row r="1" spans="1:41" x14ac:dyDescent="0.3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140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141</v>
      </c>
      <c r="AF1" t="s">
        <v>113</v>
      </c>
      <c r="AG1" t="s">
        <v>114</v>
      </c>
      <c r="AH1" t="s">
        <v>115</v>
      </c>
      <c r="AI1" t="s">
        <v>116</v>
      </c>
      <c r="AJ1" t="s">
        <v>117</v>
      </c>
      <c r="AK1" t="s">
        <v>118</v>
      </c>
      <c r="AL1" t="s">
        <v>119</v>
      </c>
      <c r="AM1" t="s">
        <v>120</v>
      </c>
      <c r="AN1" t="s">
        <v>121</v>
      </c>
      <c r="AO1" t="s">
        <v>122</v>
      </c>
    </row>
    <row r="2" spans="1:41" x14ac:dyDescent="0.3">
      <c r="A2" t="s">
        <v>123</v>
      </c>
      <c r="B2" t="s">
        <v>124</v>
      </c>
      <c r="C2" t="s">
        <v>77</v>
      </c>
      <c r="D2" t="s">
        <v>125</v>
      </c>
      <c r="E2" t="s">
        <v>126</v>
      </c>
      <c r="F2" t="s">
        <v>127</v>
      </c>
      <c r="G2" t="s">
        <v>78</v>
      </c>
      <c r="H2" t="s">
        <v>79</v>
      </c>
      <c r="I2" s="79">
        <v>339247000000</v>
      </c>
      <c r="J2" s="79">
        <v>262505000000</v>
      </c>
      <c r="K2" s="80">
        <f>income_statement?symbol_AAPL_apikey_1hHlVrybFSY5JvDKRGGC351WpISPRA1x[[#This Row],[revenue]] / income_statement?symbol_AAPL_apikey_1hHlVrybFSY5JvDKRGGC351WpISPRA1x[[#This Row],[costOfRevenue]] - 1</f>
        <v>0.2923449077160436</v>
      </c>
      <c r="L2" s="79">
        <v>76742000000</v>
      </c>
      <c r="M2" s="79">
        <v>987000000</v>
      </c>
      <c r="N2" s="79">
        <v>9976000000</v>
      </c>
      <c r="O2" s="79">
        <v>0</v>
      </c>
      <c r="P2" s="79">
        <v>9976000000</v>
      </c>
      <c r="Q2" s="79">
        <v>26127000000</v>
      </c>
      <c r="R2" s="79">
        <v>37090000000</v>
      </c>
      <c r="S2" s="79">
        <v>299595000000</v>
      </c>
      <c r="T2" s="79">
        <v>-996000000</v>
      </c>
      <c r="U2" s="79">
        <v>0</v>
      </c>
      <c r="V2" s="79">
        <v>996000000</v>
      </c>
      <c r="W2" s="79">
        <v>23442000000</v>
      </c>
      <c r="X2" s="79">
        <v>73311000000</v>
      </c>
      <c r="Y2" s="79">
        <v>49869000000</v>
      </c>
      <c r="Z2" s="79">
        <v>-10217000000</v>
      </c>
      <c r="AA2" s="79">
        <v>39652000000</v>
      </c>
      <c r="AB2" s="79">
        <v>9221000000</v>
      </c>
      <c r="AC2" s="79">
        <v>48873000000</v>
      </c>
      <c r="AD2" s="79">
        <v>13810000000</v>
      </c>
      <c r="AE2" s="80">
        <f>income_statement?symbol_AAPL_apikey_1hHlVrybFSY5JvDKRGGC351WpISPRA1x[[#This Row],[incomeTaxExpense]]/income_statement?symbol_AAPL_apikey_1hHlVrybFSY5JvDKRGGC351WpISPRA1x[[#This Row],[incomeBeforeTax]]</f>
        <v>0.28256910768727111</v>
      </c>
      <c r="AF2" s="79">
        <v>35063000000</v>
      </c>
      <c r="AG2" s="79">
        <v>0</v>
      </c>
      <c r="AH2" s="79">
        <v>0</v>
      </c>
      <c r="AI2" s="79">
        <v>33680000000</v>
      </c>
      <c r="AJ2" s="79">
        <v>0</v>
      </c>
      <c r="AK2" s="79">
        <v>33680000000</v>
      </c>
      <c r="AL2">
        <v>7.84</v>
      </c>
      <c r="AM2">
        <v>7.84</v>
      </c>
      <c r="AN2">
        <v>4298000000</v>
      </c>
      <c r="AO2">
        <v>4298000000</v>
      </c>
    </row>
    <row r="3" spans="1:41" x14ac:dyDescent="0.3">
      <c r="A3" t="s">
        <v>128</v>
      </c>
      <c r="B3" t="s">
        <v>124</v>
      </c>
      <c r="C3" t="s">
        <v>77</v>
      </c>
      <c r="D3" t="s">
        <v>125</v>
      </c>
      <c r="E3" t="s">
        <v>129</v>
      </c>
      <c r="F3" t="s">
        <v>130</v>
      </c>
      <c r="G3" t="s">
        <v>80</v>
      </c>
      <c r="H3" t="s">
        <v>79</v>
      </c>
      <c r="I3" s="79">
        <v>334697000000</v>
      </c>
      <c r="J3" s="79">
        <v>250555000000</v>
      </c>
      <c r="K3" s="80">
        <f>income_statement?symbol_AAPL_apikey_1hHlVrybFSY5JvDKRGGC351WpISPRA1x[[#This Row],[revenue]] / income_statement?symbol_AAPL_apikey_1hHlVrybFSY5JvDKRGGC351WpISPRA1x[[#This Row],[costOfRevenue]] - 1</f>
        <v>0.33582247410748134</v>
      </c>
      <c r="L3" s="79">
        <v>84142000000</v>
      </c>
      <c r="M3" s="79">
        <v>879000000</v>
      </c>
      <c r="N3" s="79">
        <v>10891000000</v>
      </c>
      <c r="O3" s="79">
        <v>0</v>
      </c>
      <c r="P3" s="79">
        <v>10891000000</v>
      </c>
      <c r="Q3" s="79">
        <v>27911000000</v>
      </c>
      <c r="R3" s="79">
        <v>39681000000</v>
      </c>
      <c r="S3" s="79">
        <v>290236000000</v>
      </c>
      <c r="T3" s="79">
        <v>-849000000</v>
      </c>
      <c r="U3" s="79">
        <v>0</v>
      </c>
      <c r="V3" s="79">
        <v>849000000</v>
      </c>
      <c r="W3" s="79">
        <v>20641000000</v>
      </c>
      <c r="X3" s="79">
        <v>74273000000</v>
      </c>
      <c r="Y3" s="79">
        <v>53632000000</v>
      </c>
      <c r="Z3" s="79">
        <v>-9171000000</v>
      </c>
      <c r="AA3" s="79">
        <v>44461000000</v>
      </c>
      <c r="AB3" s="79">
        <v>8322000000</v>
      </c>
      <c r="AC3" s="79">
        <v>52783000000</v>
      </c>
      <c r="AD3" s="79">
        <v>15429000000</v>
      </c>
      <c r="AE3" s="80">
        <f>income_statement?symbol_AAPL_apikey_1hHlVrybFSY5JvDKRGGC351WpISPRA1x[[#This Row],[incomeTaxExpense]]/income_statement?symbol_AAPL_apikey_1hHlVrybFSY5JvDKRGGC351WpISPRA1x[[#This Row],[incomeBeforeTax]]</f>
        <v>0.29231002406077716</v>
      </c>
      <c r="AF3" s="79">
        <v>37354000000</v>
      </c>
      <c r="AG3" s="79">
        <v>0</v>
      </c>
      <c r="AH3" s="79">
        <v>0</v>
      </c>
      <c r="AI3" s="79">
        <v>36010000000</v>
      </c>
      <c r="AJ3" s="79">
        <v>0</v>
      </c>
      <c r="AK3" s="79">
        <v>36010000000</v>
      </c>
      <c r="AL3">
        <v>8.89</v>
      </c>
      <c r="AM3">
        <v>8.89</v>
      </c>
      <c r="AN3">
        <v>4050619000</v>
      </c>
      <c r="AO3">
        <v>4052000000</v>
      </c>
    </row>
    <row r="4" spans="1:41" x14ac:dyDescent="0.3">
      <c r="A4" t="s">
        <v>131</v>
      </c>
      <c r="B4" t="s">
        <v>124</v>
      </c>
      <c r="C4" t="s">
        <v>77</v>
      </c>
      <c r="D4" t="s">
        <v>125</v>
      </c>
      <c r="E4" t="s">
        <v>132</v>
      </c>
      <c r="F4" t="s">
        <v>133</v>
      </c>
      <c r="G4" t="s">
        <v>81</v>
      </c>
      <c r="H4" t="s">
        <v>79</v>
      </c>
      <c r="I4" s="79">
        <v>398675000000</v>
      </c>
      <c r="J4" s="79">
        <v>295608000000</v>
      </c>
      <c r="K4" s="80">
        <f>income_statement?symbol_AAPL_apikey_1hHlVrybFSY5JvDKRGGC351WpISPRA1x[[#This Row],[revenue]] / income_statement?symbol_AAPL_apikey_1hHlVrybFSY5JvDKRGGC351WpISPRA1x[[#This Row],[costOfRevenue]] - 1</f>
        <v>0.34866106465318936</v>
      </c>
      <c r="L4" s="79">
        <v>103067000000</v>
      </c>
      <c r="M4" s="79">
        <v>824000000</v>
      </c>
      <c r="N4" s="79">
        <v>10095000000</v>
      </c>
      <c r="O4" s="79">
        <v>0</v>
      </c>
      <c r="P4" s="79">
        <v>10095000000</v>
      </c>
      <c r="Q4" s="79">
        <v>28120000000</v>
      </c>
      <c r="R4" s="79">
        <v>39039000000</v>
      </c>
      <c r="S4" s="79">
        <v>334647000000</v>
      </c>
      <c r="T4" s="79">
        <v>-798000000</v>
      </c>
      <c r="U4" s="79">
        <v>0</v>
      </c>
      <c r="V4" s="79">
        <v>798000000</v>
      </c>
      <c r="W4" s="79">
        <v>24040000000</v>
      </c>
      <c r="X4" s="79">
        <v>102591000000</v>
      </c>
      <c r="Y4" s="79">
        <v>78551000000</v>
      </c>
      <c r="Z4" s="79">
        <v>-14523000000</v>
      </c>
      <c r="AA4" s="79">
        <v>64028000000</v>
      </c>
      <c r="AB4" s="79">
        <v>13725000000</v>
      </c>
      <c r="AC4" s="79">
        <v>77753000000</v>
      </c>
      <c r="AD4" s="79">
        <v>20176000000</v>
      </c>
      <c r="AE4" s="80">
        <f>income_statement?symbol_AAPL_apikey_1hHlVrybFSY5JvDKRGGC351WpISPRA1x[[#This Row],[incomeTaxExpense]]/income_statement?symbol_AAPL_apikey_1hHlVrybFSY5JvDKRGGC351WpISPRA1x[[#This Row],[incomeBeforeTax]]</f>
        <v>0.259488379869587</v>
      </c>
      <c r="AF4" s="79">
        <v>57577000000</v>
      </c>
      <c r="AG4" s="79">
        <v>0</v>
      </c>
      <c r="AH4" s="79">
        <v>0</v>
      </c>
      <c r="AI4" s="79">
        <v>55740000000</v>
      </c>
      <c r="AJ4" s="79">
        <v>0</v>
      </c>
      <c r="AK4" s="79">
        <v>55740000000</v>
      </c>
      <c r="AL4">
        <v>13.26</v>
      </c>
      <c r="AM4">
        <v>13.26</v>
      </c>
      <c r="AN4">
        <v>4205000000</v>
      </c>
      <c r="AO4">
        <v>4205000000</v>
      </c>
    </row>
    <row r="5" spans="1:41" x14ac:dyDescent="0.3">
      <c r="A5" t="s">
        <v>134</v>
      </c>
      <c r="B5" t="s">
        <v>124</v>
      </c>
      <c r="C5" t="s">
        <v>77</v>
      </c>
      <c r="D5" t="s">
        <v>125</v>
      </c>
      <c r="E5" t="s">
        <v>135</v>
      </c>
      <c r="F5" t="s">
        <v>136</v>
      </c>
      <c r="G5" t="s">
        <v>82</v>
      </c>
      <c r="H5" t="s">
        <v>79</v>
      </c>
      <c r="I5" s="79">
        <v>276692000000</v>
      </c>
      <c r="J5" s="79">
        <v>211806000000</v>
      </c>
      <c r="K5" s="80">
        <f>income_statement?symbol_AAPL_apikey_1hHlVrybFSY5JvDKRGGC351WpISPRA1x[[#This Row],[revenue]] / income_statement?symbol_AAPL_apikey_1hHlVrybFSY5JvDKRGGC351WpISPRA1x[[#This Row],[costOfRevenue]] - 1</f>
        <v>0.30634637356826522</v>
      </c>
      <c r="L5" s="79">
        <v>64886000000</v>
      </c>
      <c r="M5" s="79">
        <v>843000000</v>
      </c>
      <c r="N5" s="79">
        <v>10961000000</v>
      </c>
      <c r="O5" s="79">
        <v>0</v>
      </c>
      <c r="P5" s="79">
        <v>10961000000</v>
      </c>
      <c r="Q5" s="79">
        <v>29063000000</v>
      </c>
      <c r="R5" s="79">
        <v>40867000000</v>
      </c>
      <c r="S5" s="79">
        <v>252673000000</v>
      </c>
      <c r="T5" s="79">
        <v>-947000000</v>
      </c>
      <c r="U5" s="79">
        <v>0</v>
      </c>
      <c r="V5" s="79">
        <v>947000000</v>
      </c>
      <c r="W5" s="79">
        <v>20607000000</v>
      </c>
      <c r="X5" s="79">
        <v>52788000000</v>
      </c>
      <c r="Y5" s="79">
        <v>32181000000</v>
      </c>
      <c r="Z5" s="79">
        <v>-8162000000</v>
      </c>
      <c r="AA5" s="79">
        <v>24019000000</v>
      </c>
      <c r="AB5" s="79">
        <v>7215000000</v>
      </c>
      <c r="AC5" s="79">
        <v>31234000000</v>
      </c>
      <c r="AD5" s="79">
        <v>7636000000</v>
      </c>
      <c r="AE5" s="80">
        <f>income_statement?symbol_AAPL_apikey_1hHlVrybFSY5JvDKRGGC351WpISPRA1x[[#This Row],[incomeTaxExpense]]/income_statement?symbol_AAPL_apikey_1hHlVrybFSY5JvDKRGGC351WpISPRA1x[[#This Row],[incomeBeforeTax]]</f>
        <v>0.24447717231222385</v>
      </c>
      <c r="AF5" s="79">
        <v>23598000000</v>
      </c>
      <c r="AG5" s="79">
        <v>0</v>
      </c>
      <c r="AH5" s="79">
        <v>0</v>
      </c>
      <c r="AI5" s="79">
        <v>23040000000</v>
      </c>
      <c r="AJ5" s="79">
        <v>0</v>
      </c>
      <c r="AK5" s="79">
        <v>23040000000</v>
      </c>
      <c r="AL5">
        <v>5.39</v>
      </c>
      <c r="AM5">
        <v>5.39</v>
      </c>
      <c r="AN5">
        <v>4275000000</v>
      </c>
      <c r="AO5">
        <v>4275000000</v>
      </c>
    </row>
    <row r="6" spans="1:41" x14ac:dyDescent="0.3">
      <c r="A6" t="s">
        <v>137</v>
      </c>
      <c r="B6" t="s">
        <v>124</v>
      </c>
      <c r="C6" t="s">
        <v>77</v>
      </c>
      <c r="D6" t="s">
        <v>125</v>
      </c>
      <c r="E6" t="s">
        <v>138</v>
      </c>
      <c r="F6" t="s">
        <v>139</v>
      </c>
      <c r="G6" t="s">
        <v>83</v>
      </c>
      <c r="H6" t="s">
        <v>79</v>
      </c>
      <c r="I6" s="79">
        <v>178574000000</v>
      </c>
      <c r="J6" s="79">
        <v>170447000000</v>
      </c>
      <c r="K6" s="80">
        <f>income_statement?symbol_AAPL_apikey_1hHlVrybFSY5JvDKRGGC351WpISPRA1x[[#This Row],[revenue]] / income_statement?symbol_AAPL_apikey_1hHlVrybFSY5JvDKRGGC351WpISPRA1x[[#This Row],[costOfRevenue]] - 1</f>
        <v>4.7680510657271746E-2</v>
      </c>
      <c r="L6" s="79">
        <v>8127000000</v>
      </c>
      <c r="M6" s="79">
        <v>1016000000</v>
      </c>
      <c r="N6" s="79">
        <v>11716000000</v>
      </c>
      <c r="O6" s="79">
        <v>0</v>
      </c>
      <c r="P6" s="79">
        <v>11716000000</v>
      </c>
      <c r="Q6" s="79">
        <v>24843000000</v>
      </c>
      <c r="R6" s="79">
        <v>37575000000</v>
      </c>
      <c r="S6" s="79">
        <v>208022000000</v>
      </c>
      <c r="T6" s="79">
        <v>-1158000000</v>
      </c>
      <c r="U6" s="79">
        <v>0</v>
      </c>
      <c r="V6" s="79">
        <v>1158000000</v>
      </c>
      <c r="W6" s="79">
        <v>46009000000</v>
      </c>
      <c r="X6" s="79">
        <v>18284000000</v>
      </c>
      <c r="Y6" s="79">
        <v>-27725000000</v>
      </c>
      <c r="Z6" s="79">
        <v>-1723000000</v>
      </c>
      <c r="AA6" s="79">
        <v>-29448000000</v>
      </c>
      <c r="AB6" s="79">
        <v>565000000</v>
      </c>
      <c r="AC6" s="79">
        <v>-28883000000</v>
      </c>
      <c r="AD6" s="79">
        <v>-5632000000</v>
      </c>
      <c r="AE6" s="80">
        <f>income_statement?symbol_AAPL_apikey_1hHlVrybFSY5JvDKRGGC351WpISPRA1x[[#This Row],[incomeTaxExpense]]/income_statement?symbol_AAPL_apikey_1hHlVrybFSY5JvDKRGGC351WpISPRA1x[[#This Row],[incomeBeforeTax]]</f>
        <v>0.1949935948481806</v>
      </c>
      <c r="AF6" s="79">
        <v>-23251000000</v>
      </c>
      <c r="AG6" s="79">
        <v>0</v>
      </c>
      <c r="AH6" s="79">
        <v>0</v>
      </c>
      <c r="AI6" s="79">
        <v>-22440000000</v>
      </c>
      <c r="AJ6" s="79">
        <v>0</v>
      </c>
      <c r="AK6" s="79">
        <v>-22440000000</v>
      </c>
      <c r="AL6">
        <v>-5.25</v>
      </c>
      <c r="AM6">
        <v>-5.25</v>
      </c>
      <c r="AN6">
        <v>4271000000</v>
      </c>
      <c r="AO6">
        <v>4271000000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CA7E2-6EA3-4A8A-9249-F131B55E47C5}">
  <dimension ref="A2:R28"/>
  <sheetViews>
    <sheetView showGridLines="0" topLeftCell="A15" zoomScale="150" zoomScaleNormal="150" workbookViewId="0">
      <selection activeCell="B22" sqref="B22:I32"/>
    </sheetView>
  </sheetViews>
  <sheetFormatPr baseColWidth="10" defaultColWidth="8.6640625" defaultRowHeight="14.4" x14ac:dyDescent="0.3"/>
  <cols>
    <col min="1" max="1" width="3.44140625" style="4" customWidth="1"/>
  </cols>
  <sheetData>
    <row r="2" spans="1:18" s="3" customFormat="1" ht="21" x14ac:dyDescent="0.4">
      <c r="A2" s="1"/>
      <c r="B2" s="2" t="s">
        <v>1</v>
      </c>
      <c r="G2" s="78"/>
    </row>
    <row r="4" spans="1:18" x14ac:dyDescent="0.3">
      <c r="A4" s="4" t="s">
        <v>2</v>
      </c>
      <c r="B4" s="5" t="s">
        <v>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x14ac:dyDescent="0.3">
      <c r="B5" t="s">
        <v>189</v>
      </c>
    </row>
    <row r="6" spans="1:18" x14ac:dyDescent="0.3">
      <c r="B6" t="s">
        <v>4</v>
      </c>
    </row>
    <row r="7" spans="1:18" x14ac:dyDescent="0.3">
      <c r="B7" t="s">
        <v>5</v>
      </c>
    </row>
    <row r="8" spans="1:18" x14ac:dyDescent="0.3">
      <c r="B8" t="s">
        <v>6</v>
      </c>
    </row>
    <row r="9" spans="1:18" x14ac:dyDescent="0.3">
      <c r="B9" t="s">
        <v>7</v>
      </c>
    </row>
    <row r="10" spans="1:18" x14ac:dyDescent="0.3">
      <c r="B10" t="s">
        <v>40</v>
      </c>
    </row>
    <row r="12" spans="1:18" x14ac:dyDescent="0.3">
      <c r="A12" s="4" t="s">
        <v>2</v>
      </c>
      <c r="B12" s="5" t="s">
        <v>8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x14ac:dyDescent="0.3"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</row>
    <row r="14" spans="1:18" x14ac:dyDescent="0.3">
      <c r="B14" s="87" t="s">
        <v>9</v>
      </c>
    </row>
    <row r="15" spans="1:18" x14ac:dyDescent="0.3">
      <c r="B15" s="87"/>
    </row>
    <row r="16" spans="1:18" x14ac:dyDescent="0.3">
      <c r="B16" s="125" t="s">
        <v>190</v>
      </c>
    </row>
    <row r="17" spans="2:2" x14ac:dyDescent="0.3">
      <c r="B17" s="126" t="s">
        <v>194</v>
      </c>
    </row>
    <row r="18" spans="2:2" x14ac:dyDescent="0.3">
      <c r="B18" s="126" t="s">
        <v>195</v>
      </c>
    </row>
    <row r="19" spans="2:2" x14ac:dyDescent="0.3">
      <c r="B19" s="125" t="s">
        <v>191</v>
      </c>
    </row>
    <row r="20" spans="2:2" x14ac:dyDescent="0.3">
      <c r="B20" s="126" t="s">
        <v>196</v>
      </c>
    </row>
    <row r="22" spans="2:2" x14ac:dyDescent="0.3">
      <c r="B22" s="87" t="s">
        <v>10</v>
      </c>
    </row>
    <row r="23" spans="2:2" x14ac:dyDescent="0.3">
      <c r="B23" s="87"/>
    </row>
    <row r="24" spans="2:2" x14ac:dyDescent="0.3">
      <c r="B24" s="126" t="s">
        <v>197</v>
      </c>
    </row>
    <row r="25" spans="2:2" x14ac:dyDescent="0.3">
      <c r="B25" s="126" t="s">
        <v>198</v>
      </c>
    </row>
    <row r="26" spans="2:2" x14ac:dyDescent="0.3">
      <c r="B26" s="125" t="s">
        <v>192</v>
      </c>
    </row>
    <row r="27" spans="2:2" x14ac:dyDescent="0.3">
      <c r="B27" s="126" t="s">
        <v>199</v>
      </c>
    </row>
    <row r="28" spans="2:2" x14ac:dyDescent="0.3">
      <c r="B28" s="125" t="s">
        <v>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A8E7-B83E-49BE-B081-6441C1E68853}">
  <dimension ref="A2:T85"/>
  <sheetViews>
    <sheetView showGridLines="0" tabSelected="1" topLeftCell="A13" zoomScale="81" zoomScaleNormal="80" workbookViewId="0">
      <selection activeCell="B39" sqref="B39"/>
    </sheetView>
  </sheetViews>
  <sheetFormatPr baseColWidth="10" defaultColWidth="10.6640625" defaultRowHeight="14.4" x14ac:dyDescent="0.3"/>
  <cols>
    <col min="1" max="1" width="5.6640625" customWidth="1"/>
    <col min="2" max="2" width="34.33203125" bestFit="1" customWidth="1"/>
    <col min="5" max="9" width="19.44140625" bestFit="1" customWidth="1"/>
    <col min="10" max="13" width="18.33203125" bestFit="1" customWidth="1"/>
    <col min="14" max="14" width="21.33203125" bestFit="1" customWidth="1"/>
    <col min="15" max="15" width="18.33203125" bestFit="1" customWidth="1"/>
    <col min="16" max="18" width="14.6640625" bestFit="1" customWidth="1"/>
    <col min="19" max="19" width="16.33203125" bestFit="1" customWidth="1"/>
  </cols>
  <sheetData>
    <row r="2" spans="1:20" s="3" customFormat="1" ht="21" x14ac:dyDescent="0.4">
      <c r="B2" s="2" t="s">
        <v>41</v>
      </c>
    </row>
    <row r="4" spans="1:20" x14ac:dyDescent="0.3">
      <c r="B4" t="s">
        <v>42</v>
      </c>
      <c r="C4" s="43" t="s">
        <v>124</v>
      </c>
      <c r="E4" t="s">
        <v>74</v>
      </c>
      <c r="F4">
        <v>112.24</v>
      </c>
    </row>
    <row r="5" spans="1:20" x14ac:dyDescent="0.3">
      <c r="B5" t="s">
        <v>43</v>
      </c>
      <c r="C5" s="42">
        <v>45943</v>
      </c>
      <c r="E5" t="s">
        <v>75</v>
      </c>
      <c r="F5" s="70">
        <f ca="1">O85</f>
        <v>139.36903624103468</v>
      </c>
    </row>
    <row r="6" spans="1:20" x14ac:dyDescent="0.3">
      <c r="B6" t="s">
        <v>44</v>
      </c>
      <c r="C6" s="42">
        <v>46022</v>
      </c>
      <c r="E6" t="s">
        <v>76</v>
      </c>
      <c r="F6" s="77">
        <f ca="1">F5/F4-1</f>
        <v>0.24170559730073671</v>
      </c>
    </row>
    <row r="8" spans="1:20" x14ac:dyDescent="0.3">
      <c r="A8" s="4" t="s">
        <v>2</v>
      </c>
      <c r="B8" s="5" t="s">
        <v>45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ht="4.95" customHeight="1" x14ac:dyDescent="0.3"/>
    <row r="10" spans="1:20" x14ac:dyDescent="0.3">
      <c r="B10" s="44" t="s">
        <v>46</v>
      </c>
      <c r="C10" s="45"/>
      <c r="D10" s="45"/>
      <c r="E10" s="45"/>
      <c r="G10" s="44" t="s">
        <v>47</v>
      </c>
      <c r="H10" s="45"/>
      <c r="I10" s="45"/>
      <c r="J10" s="45"/>
      <c r="L10" s="44" t="s">
        <v>48</v>
      </c>
      <c r="M10" s="45"/>
      <c r="N10" s="45"/>
      <c r="O10" s="45"/>
      <c r="Q10" s="44" t="s">
        <v>49</v>
      </c>
      <c r="R10" s="45"/>
      <c r="S10" s="45"/>
      <c r="T10" s="45"/>
    </row>
    <row r="11" spans="1:20" x14ac:dyDescent="0.3">
      <c r="B11" s="6" t="s">
        <v>45</v>
      </c>
      <c r="G11" s="6" t="s">
        <v>45</v>
      </c>
      <c r="H11" s="46"/>
      <c r="I11" s="47" t="s">
        <v>50</v>
      </c>
      <c r="J11" s="47" t="s">
        <v>51</v>
      </c>
      <c r="L11" s="6" t="s">
        <v>45</v>
      </c>
      <c r="M11" s="46"/>
      <c r="N11" s="47" t="s">
        <v>50</v>
      </c>
      <c r="O11" s="47" t="s">
        <v>51</v>
      </c>
      <c r="Q11" s="6" t="s">
        <v>45</v>
      </c>
      <c r="R11" s="46"/>
      <c r="S11" s="47" t="s">
        <v>50</v>
      </c>
      <c r="T11" s="47" t="s">
        <v>51</v>
      </c>
    </row>
    <row r="12" spans="1:20" x14ac:dyDescent="0.3">
      <c r="B12" t="s">
        <v>52</v>
      </c>
      <c r="E12" s="43">
        <v>2</v>
      </c>
      <c r="F12" s="4"/>
      <c r="G12" t="s">
        <v>52</v>
      </c>
      <c r="I12" s="48" t="s">
        <v>180</v>
      </c>
      <c r="J12" s="49">
        <v>0.98</v>
      </c>
      <c r="L12" t="s">
        <v>52</v>
      </c>
      <c r="N12" s="48" t="s">
        <v>180</v>
      </c>
      <c r="O12" s="49">
        <v>1.02</v>
      </c>
      <c r="Q12" t="s">
        <v>52</v>
      </c>
      <c r="S12" s="48" t="s">
        <v>180</v>
      </c>
      <c r="T12" s="49">
        <v>1.07</v>
      </c>
    </row>
    <row r="13" spans="1:20" x14ac:dyDescent="0.3">
      <c r="B13" t="s">
        <v>0</v>
      </c>
      <c r="E13" s="43">
        <v>2</v>
      </c>
      <c r="F13" s="4"/>
      <c r="G13" t="s">
        <v>52</v>
      </c>
      <c r="I13" s="48" t="s">
        <v>73</v>
      </c>
      <c r="J13" s="49">
        <v>0.98</v>
      </c>
      <c r="L13" t="s">
        <v>52</v>
      </c>
      <c r="N13" s="48" t="s">
        <v>73</v>
      </c>
      <c r="O13" s="49">
        <v>1.04</v>
      </c>
      <c r="Q13" t="s">
        <v>52</v>
      </c>
      <c r="S13" s="48" t="s">
        <v>73</v>
      </c>
      <c r="T13" s="49">
        <v>1.07</v>
      </c>
    </row>
    <row r="14" spans="1:20" x14ac:dyDescent="0.3">
      <c r="B14" t="s">
        <v>11</v>
      </c>
      <c r="E14" s="43">
        <v>2</v>
      </c>
      <c r="F14" s="4"/>
      <c r="G14" t="s">
        <v>0</v>
      </c>
      <c r="I14" s="4">
        <v>2029</v>
      </c>
      <c r="J14" s="50">
        <v>0.1</v>
      </c>
      <c r="L14" t="s">
        <v>0</v>
      </c>
      <c r="N14" s="4">
        <v>2029</v>
      </c>
      <c r="O14" s="50">
        <v>0.15</v>
      </c>
      <c r="Q14" t="s">
        <v>0</v>
      </c>
      <c r="S14" s="4">
        <v>2029</v>
      </c>
      <c r="T14" s="50">
        <v>0.18</v>
      </c>
    </row>
    <row r="15" spans="1:20" x14ac:dyDescent="0.3">
      <c r="B15" t="s">
        <v>53</v>
      </c>
      <c r="E15" s="43">
        <v>2</v>
      </c>
      <c r="F15" s="4"/>
      <c r="G15" t="s">
        <v>179</v>
      </c>
    </row>
    <row r="16" spans="1:20" x14ac:dyDescent="0.3">
      <c r="E16" s="4"/>
      <c r="F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 x14ac:dyDescent="0.3">
      <c r="B17" s="6" t="s">
        <v>54</v>
      </c>
      <c r="F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 x14ac:dyDescent="0.3">
      <c r="B18" t="s">
        <v>11</v>
      </c>
      <c r="E18" s="50">
        <f>CHOOSE(E14,J18,O18,T18)</f>
        <v>9.4E-2</v>
      </c>
      <c r="F18" s="4"/>
      <c r="G18" t="s">
        <v>11</v>
      </c>
      <c r="J18" s="50">
        <f>WACC!F22</f>
        <v>9.8695590469012703E-2</v>
      </c>
      <c r="K18" s="4"/>
      <c r="L18" t="s">
        <v>11</v>
      </c>
      <c r="O18" s="50">
        <v>9.4E-2</v>
      </c>
      <c r="P18" s="4"/>
      <c r="Q18" t="s">
        <v>11</v>
      </c>
      <c r="T18" s="50">
        <v>8.7999999999999995E-2</v>
      </c>
    </row>
    <row r="19" spans="1:20" x14ac:dyDescent="0.3">
      <c r="B19" t="s">
        <v>53</v>
      </c>
      <c r="E19" s="50">
        <f>CHOOSE(E15,J19,O19,T19)</f>
        <v>1.4999999999999999E-2</v>
      </c>
      <c r="G19" t="s">
        <v>53</v>
      </c>
      <c r="J19" s="50">
        <v>0.01</v>
      </c>
      <c r="K19" s="4"/>
      <c r="L19" t="s">
        <v>53</v>
      </c>
      <c r="O19" s="50">
        <v>1.4999999999999999E-2</v>
      </c>
      <c r="P19" s="4"/>
      <c r="Q19" t="s">
        <v>53</v>
      </c>
      <c r="T19" s="50">
        <v>0.02</v>
      </c>
    </row>
    <row r="20" spans="1:20" x14ac:dyDescent="0.3">
      <c r="E20" s="51"/>
      <c r="J20" s="51"/>
      <c r="K20" s="4"/>
      <c r="O20" s="51"/>
      <c r="P20" s="4"/>
      <c r="T20" s="51"/>
    </row>
    <row r="21" spans="1:20" x14ac:dyDescent="0.3">
      <c r="A21" s="4" t="s">
        <v>2</v>
      </c>
      <c r="B21" s="5" t="s">
        <v>185</v>
      </c>
      <c r="C21" s="5"/>
      <c r="D21" s="5"/>
      <c r="E21" s="52">
        <f>2020</f>
        <v>2020</v>
      </c>
      <c r="F21" s="52">
        <f t="shared" ref="F21:I21" si="0">E21+1</f>
        <v>2021</v>
      </c>
      <c r="G21" s="52">
        <f t="shared" si="0"/>
        <v>2022</v>
      </c>
      <c r="H21" s="52">
        <f t="shared" si="0"/>
        <v>2023</v>
      </c>
      <c r="I21" s="86">
        <f t="shared" si="0"/>
        <v>2024</v>
      </c>
      <c r="J21" s="53">
        <f t="shared" ref="J21" si="1">I21+1</f>
        <v>2025</v>
      </c>
      <c r="K21" s="53">
        <f t="shared" ref="K21" si="2">J21+1</f>
        <v>2026</v>
      </c>
      <c r="L21" s="53">
        <f t="shared" ref="L21" si="3">K21+1</f>
        <v>2027</v>
      </c>
      <c r="M21" s="53">
        <f t="shared" ref="M21" si="4">L21+1</f>
        <v>2028</v>
      </c>
      <c r="N21" s="53">
        <f t="shared" ref="N21" si="5">M21+1</f>
        <v>2029</v>
      </c>
      <c r="R21" s="54"/>
    </row>
    <row r="22" spans="1:20" x14ac:dyDescent="0.3">
      <c r="A22" s="4"/>
      <c r="B22" s="122"/>
      <c r="C22" s="122"/>
      <c r="D22" s="122"/>
      <c r="E22" s="123"/>
      <c r="F22" s="123"/>
      <c r="G22" s="123"/>
      <c r="H22" s="123"/>
      <c r="I22" s="124"/>
      <c r="J22" s="115"/>
      <c r="K22" s="115"/>
      <c r="L22" s="115"/>
      <c r="M22" s="115"/>
      <c r="N22" s="115"/>
      <c r="R22" s="54"/>
    </row>
    <row r="23" spans="1:20" x14ac:dyDescent="0.3">
      <c r="E23" s="94">
        <v>178.57400000000001</v>
      </c>
      <c r="F23" s="94">
        <v>276.69200000000001</v>
      </c>
      <c r="G23" s="94">
        <v>398.67500000000001</v>
      </c>
      <c r="H23" s="94">
        <v>334.697</v>
      </c>
      <c r="I23" s="94">
        <v>339.24700000000001</v>
      </c>
      <c r="J23" s="95">
        <f>I23*O12</f>
        <v>346.03194000000002</v>
      </c>
      <c r="K23" s="95">
        <f>J23*$O$13</f>
        <v>359.87321760000003</v>
      </c>
      <c r="L23" s="95">
        <f t="shared" ref="L23:N23" si="6">K23*$O$13</f>
        <v>374.26814630400003</v>
      </c>
      <c r="M23" s="95">
        <f>L23*$O$13</f>
        <v>389.23887215616003</v>
      </c>
      <c r="N23" s="95">
        <f t="shared" si="6"/>
        <v>404.80842704240644</v>
      </c>
    </row>
    <row r="24" spans="1:20" x14ac:dyDescent="0.3">
      <c r="B24" s="102" t="s">
        <v>55</v>
      </c>
      <c r="E24" s="99"/>
      <c r="F24" s="99">
        <f t="shared" ref="F24:I24" si="7">F23/E23-1</f>
        <v>0.5494528878784144</v>
      </c>
      <c r="G24" s="99">
        <f t="shared" si="7"/>
        <v>0.4408620415480029</v>
      </c>
      <c r="H24" s="99">
        <f t="shared" si="7"/>
        <v>-0.16047657866683396</v>
      </c>
      <c r="I24" s="99">
        <f t="shared" si="7"/>
        <v>1.3594385369453565E-2</v>
      </c>
      <c r="J24" s="99">
        <f t="shared" ref="J24" si="8">J23/I23-1</f>
        <v>2.0000000000000018E-2</v>
      </c>
      <c r="K24" s="99">
        <f t="shared" ref="K24" si="9">K23/J23-1</f>
        <v>4.0000000000000036E-2</v>
      </c>
      <c r="L24" s="99">
        <f t="shared" ref="L24" si="10">L23/K23-1</f>
        <v>4.0000000000000036E-2</v>
      </c>
      <c r="M24" s="99">
        <f t="shared" ref="M24" si="11">M23/L23-1</f>
        <v>4.0000000000000036E-2</v>
      </c>
      <c r="N24" s="99">
        <f t="shared" ref="N24" si="12">N23/M23-1</f>
        <v>4.0000000000000036E-2</v>
      </c>
    </row>
    <row r="25" spans="1:20" x14ac:dyDescent="0.3">
      <c r="E25" s="93"/>
      <c r="F25" s="93"/>
      <c r="G25" s="93"/>
      <c r="H25" s="93"/>
      <c r="I25" s="93"/>
      <c r="J25" s="93"/>
      <c r="K25" s="93"/>
      <c r="L25" s="93"/>
      <c r="M25" s="93"/>
      <c r="N25" s="93"/>
    </row>
    <row r="26" spans="1:20" x14ac:dyDescent="0.3">
      <c r="B26" s="100" t="s">
        <v>0</v>
      </c>
      <c r="E26" s="94">
        <v>-27.725000000000001</v>
      </c>
      <c r="F26" s="94">
        <v>32.180999999999997</v>
      </c>
      <c r="G26" s="94">
        <v>78.551000000000002</v>
      </c>
      <c r="H26" s="94">
        <v>53.631999999999998</v>
      </c>
      <c r="I26" s="94">
        <v>49.869</v>
      </c>
      <c r="J26" s="95">
        <f>J23*J27</f>
        <v>51.904791000000003</v>
      </c>
      <c r="K26" s="95">
        <f t="shared" ref="K26:N26" si="13">K23*K27</f>
        <v>53.980982640000001</v>
      </c>
      <c r="L26" s="95">
        <f t="shared" si="13"/>
        <v>56.140221945600004</v>
      </c>
      <c r="M26" s="95">
        <f t="shared" si="13"/>
        <v>58.385830823424001</v>
      </c>
      <c r="N26" s="95">
        <f t="shared" si="13"/>
        <v>60.721264056360965</v>
      </c>
    </row>
    <row r="27" spans="1:20" x14ac:dyDescent="0.3">
      <c r="B27" s="102" t="s">
        <v>56</v>
      </c>
      <c r="E27" s="98">
        <f t="shared" ref="E27:I27" si="14">E26/E23</f>
        <v>-0.15525776428819424</v>
      </c>
      <c r="F27" s="98">
        <f t="shared" si="14"/>
        <v>0.11630621774391742</v>
      </c>
      <c r="G27" s="98">
        <f t="shared" si="14"/>
        <v>0.19703016241299304</v>
      </c>
      <c r="H27" s="98">
        <f t="shared" si="14"/>
        <v>0.16024045629330408</v>
      </c>
      <c r="I27" s="98">
        <f t="shared" si="14"/>
        <v>0.14699908915922616</v>
      </c>
      <c r="J27" s="97">
        <v>0.15</v>
      </c>
      <c r="K27" s="97">
        <v>0.15</v>
      </c>
      <c r="L27" s="97">
        <v>0.15</v>
      </c>
      <c r="M27" s="97">
        <v>0.15</v>
      </c>
      <c r="N27" s="97">
        <v>0.15</v>
      </c>
    </row>
    <row r="28" spans="1:20" x14ac:dyDescent="0.3">
      <c r="E28" s="93"/>
      <c r="F28" s="93"/>
      <c r="G28" s="93"/>
      <c r="H28" s="93"/>
      <c r="I28" s="93"/>
      <c r="L28" s="82"/>
      <c r="M28" s="81"/>
      <c r="N28" s="83"/>
    </row>
    <row r="29" spans="1:20" x14ac:dyDescent="0.3">
      <c r="B29" s="100" t="s">
        <v>57</v>
      </c>
      <c r="E29" s="94"/>
      <c r="F29" s="94">
        <f>F26*F30</f>
        <v>7.7234399999999992</v>
      </c>
      <c r="G29" s="94">
        <f t="shared" ref="G29:I29" si="15">G26*G30</f>
        <v>20.423260000000003</v>
      </c>
      <c r="H29" s="94">
        <f t="shared" si="15"/>
        <v>15.553279999999999</v>
      </c>
      <c r="I29" s="94">
        <f t="shared" si="15"/>
        <v>13.963320000000001</v>
      </c>
      <c r="J29" s="95">
        <f>J26*J30</f>
        <v>14.533341480000002</v>
      </c>
      <c r="K29" s="95">
        <f t="shared" ref="K29:N29" si="16">K26*K30</f>
        <v>15.114675139200001</v>
      </c>
      <c r="L29" s="95">
        <f t="shared" si="16"/>
        <v>15.719262144768003</v>
      </c>
      <c r="M29" s="95">
        <f t="shared" si="16"/>
        <v>16.348032630558723</v>
      </c>
      <c r="N29" s="95">
        <f t="shared" si="16"/>
        <v>17.001953935781071</v>
      </c>
    </row>
    <row r="30" spans="1:20" x14ac:dyDescent="0.3">
      <c r="B30" s="102" t="s">
        <v>58</v>
      </c>
      <c r="E30" s="96">
        <v>0.19</v>
      </c>
      <c r="F30" s="96">
        <v>0.24</v>
      </c>
      <c r="G30" s="96">
        <v>0.26</v>
      </c>
      <c r="H30" s="96">
        <v>0.28999999999999998</v>
      </c>
      <c r="I30" s="96">
        <v>0.28000000000000003</v>
      </c>
      <c r="J30" s="97">
        <v>0.28000000000000003</v>
      </c>
      <c r="K30" s="97">
        <v>0.28000000000000003</v>
      </c>
      <c r="L30" s="97">
        <v>0.28000000000000003</v>
      </c>
      <c r="M30" s="97">
        <v>0.28000000000000003</v>
      </c>
      <c r="N30" s="97">
        <v>0.28000000000000003</v>
      </c>
    </row>
    <row r="31" spans="1:20" x14ac:dyDescent="0.3">
      <c r="M31" s="81"/>
      <c r="N31" s="84"/>
    </row>
    <row r="32" spans="1:20" x14ac:dyDescent="0.3">
      <c r="A32" s="4" t="s">
        <v>2</v>
      </c>
      <c r="B32" s="5" t="s">
        <v>188</v>
      </c>
      <c r="C32" s="5"/>
      <c r="D32" s="5"/>
      <c r="E32" s="52">
        <f>2020</f>
        <v>2020</v>
      </c>
      <c r="F32" s="52">
        <f t="shared" ref="F32:I32" si="17">E32+1</f>
        <v>2021</v>
      </c>
      <c r="G32" s="52">
        <f t="shared" si="17"/>
        <v>2022</v>
      </c>
      <c r="H32" s="52">
        <f t="shared" si="17"/>
        <v>2023</v>
      </c>
      <c r="I32" s="86">
        <f t="shared" si="17"/>
        <v>2024</v>
      </c>
      <c r="J32" s="115"/>
      <c r="K32" s="115"/>
      <c r="L32" s="115"/>
      <c r="M32" s="115"/>
      <c r="N32" s="115"/>
      <c r="R32" s="54"/>
    </row>
    <row r="33" spans="1:19" s="54" customFormat="1" ht="14.7" customHeight="1" x14ac:dyDescent="0.3">
      <c r="A33" s="60"/>
      <c r="B33" s="100" t="s">
        <v>59</v>
      </c>
      <c r="C33"/>
      <c r="D33" s="61"/>
      <c r="E33" s="94">
        <v>20.709</v>
      </c>
      <c r="F33" s="94">
        <v>20.606999999999999</v>
      </c>
      <c r="G33" s="94">
        <v>24.04</v>
      </c>
      <c r="H33" s="94">
        <v>20.640999999999998</v>
      </c>
      <c r="I33" s="94">
        <v>23.442</v>
      </c>
      <c r="J33" s="55"/>
      <c r="K33" s="55"/>
      <c r="L33"/>
      <c r="M33" s="81"/>
      <c r="N33" s="84"/>
      <c r="O33" s="62"/>
      <c r="P33" s="63"/>
      <c r="Q33" s="63"/>
    </row>
    <row r="34" spans="1:19" s="54" customFormat="1" ht="15" customHeight="1" x14ac:dyDescent="0.3">
      <c r="A34" s="60"/>
      <c r="B34" s="100" t="s">
        <v>56</v>
      </c>
      <c r="C34"/>
      <c r="D34" s="61"/>
      <c r="E34" s="96">
        <f>E33/E$23</f>
        <v>0.11596873005028727</v>
      </c>
      <c r="F34" s="96">
        <f t="shared" ref="F34:I34" si="18">F33/F$23</f>
        <v>7.4476313012302481E-2</v>
      </c>
      <c r="G34" s="96">
        <f t="shared" si="18"/>
        <v>6.0299742898350786E-2</v>
      </c>
      <c r="H34" s="96">
        <f t="shared" si="18"/>
        <v>6.1670705145250776E-2</v>
      </c>
      <c r="I34" s="96">
        <f t="shared" si="18"/>
        <v>6.9100095210864063E-2</v>
      </c>
      <c r="J34" s="59"/>
      <c r="K34" s="59"/>
      <c r="L34"/>
      <c r="M34" s="81"/>
      <c r="N34" s="85"/>
      <c r="O34" s="61"/>
      <c r="P34" s="61"/>
      <c r="Q34" s="61"/>
    </row>
    <row r="35" spans="1:19" s="54" customFormat="1" x14ac:dyDescent="0.3">
      <c r="A35" s="60"/>
      <c r="B35"/>
      <c r="C35"/>
      <c r="D35" s="61"/>
      <c r="E35" s="93"/>
      <c r="F35" s="93"/>
      <c r="G35" s="93"/>
      <c r="H35" s="93"/>
      <c r="I35" s="93"/>
      <c r="J35" s="61"/>
      <c r="K35" s="61"/>
      <c r="L35"/>
      <c r="M35" s="81"/>
      <c r="N35" s="85"/>
      <c r="O35" s="61"/>
      <c r="P35" s="61"/>
      <c r="Q35" s="61"/>
    </row>
    <row r="36" spans="1:19" s="54" customFormat="1" x14ac:dyDescent="0.3">
      <c r="A36" s="60"/>
      <c r="B36" s="100" t="s">
        <v>60</v>
      </c>
      <c r="C36"/>
      <c r="D36" s="61"/>
      <c r="E36" s="94">
        <v>17.282</v>
      </c>
      <c r="F36" s="94">
        <v>12.076000000000001</v>
      </c>
      <c r="G36" s="94">
        <v>18.407</v>
      </c>
      <c r="H36" s="94">
        <v>21.919</v>
      </c>
      <c r="I36" s="94">
        <v>24.306000000000001</v>
      </c>
      <c r="J36" s="55"/>
      <c r="K36" s="55"/>
      <c r="L36" s="55"/>
      <c r="M36" s="81"/>
      <c r="N36" s="55"/>
      <c r="O36" s="55"/>
      <c r="P36" s="61"/>
      <c r="Q36" s="61"/>
    </row>
    <row r="37" spans="1:19" s="54" customFormat="1" x14ac:dyDescent="0.3">
      <c r="A37" s="60"/>
      <c r="B37" s="103" t="s">
        <v>56</v>
      </c>
      <c r="C37" s="64"/>
      <c r="D37" s="61"/>
      <c r="E37" s="96">
        <f t="shared" ref="E37" si="19">E36/E$23</f>
        <v>9.6777806399587843E-2</v>
      </c>
      <c r="F37" s="96">
        <f t="shared" ref="F37" si="20">F36/F$23</f>
        <v>4.3644196435025227E-2</v>
      </c>
      <c r="G37" s="96">
        <f t="shared" ref="G37" si="21">G36/G$23</f>
        <v>4.6170439581112437E-2</v>
      </c>
      <c r="H37" s="96">
        <f t="shared" ref="H37:I37" si="22">H36/H$23</f>
        <v>6.548908415671488E-2</v>
      </c>
      <c r="I37" s="96">
        <f t="shared" si="22"/>
        <v>7.1646912131868523E-2</v>
      </c>
      <c r="J37" s="59"/>
      <c r="K37" s="59"/>
      <c r="L37" s="59"/>
      <c r="M37" s="81"/>
      <c r="N37" s="58"/>
      <c r="O37" s="58"/>
      <c r="P37" s="61"/>
      <c r="Q37" s="61"/>
    </row>
    <row r="38" spans="1:19" s="54" customFormat="1" x14ac:dyDescent="0.3">
      <c r="A38" s="60"/>
      <c r="B38"/>
      <c r="C38"/>
      <c r="D38" s="61"/>
      <c r="E38" s="93"/>
      <c r="F38" s="93"/>
      <c r="G38" s="93"/>
      <c r="H38" s="93"/>
      <c r="I38" s="93"/>
      <c r="J38" s="61"/>
      <c r="K38" s="61"/>
      <c r="L38" s="61"/>
      <c r="M38" s="81"/>
      <c r="N38" s="61"/>
      <c r="O38" s="61"/>
      <c r="P38" s="61"/>
      <c r="Q38" s="61"/>
    </row>
    <row r="39" spans="1:19" s="54" customFormat="1" x14ac:dyDescent="0.3">
      <c r="A39" s="60"/>
      <c r="B39" s="100" t="s">
        <v>61</v>
      </c>
      <c r="C39"/>
      <c r="D39" s="61"/>
      <c r="E39" s="94">
        <v>-1.653</v>
      </c>
      <c r="F39" s="94">
        <v>4.1619999999999999</v>
      </c>
      <c r="G39" s="94">
        <v>-0.19400000000000001</v>
      </c>
      <c r="H39" s="94">
        <v>-2.3580000000000001</v>
      </c>
      <c r="I39" s="94">
        <v>-0.73899999999999999</v>
      </c>
      <c r="J39" s="55"/>
      <c r="K39" s="55"/>
      <c r="L39" s="55"/>
      <c r="M39" s="81"/>
      <c r="N39" s="61"/>
      <c r="O39" s="61"/>
      <c r="P39" s="61"/>
      <c r="Q39" s="61"/>
    </row>
    <row r="40" spans="1:19" s="54" customFormat="1" x14ac:dyDescent="0.3">
      <c r="A40" s="60"/>
      <c r="B40" s="103" t="s">
        <v>56</v>
      </c>
      <c r="C40" s="64"/>
      <c r="D40" s="61"/>
      <c r="E40" s="96">
        <f>E39/E$23</f>
        <v>-9.2566667039994614E-3</v>
      </c>
      <c r="F40" s="96">
        <f t="shared" ref="F40" si="23">F39/F$23</f>
        <v>1.5041996154568979E-2</v>
      </c>
      <c r="G40" s="96">
        <f t="shared" ref="G40" si="24">G39/G$23</f>
        <v>-4.86611901925127E-4</v>
      </c>
      <c r="H40" s="96">
        <f t="shared" ref="H40:I40" si="25">H39/H$23</f>
        <v>-7.0451781760816502E-3</v>
      </c>
      <c r="I40" s="96">
        <f t="shared" si="25"/>
        <v>-2.1783538247943236E-3</v>
      </c>
      <c r="J40" s="59"/>
      <c r="K40" s="59"/>
      <c r="L40" s="59"/>
      <c r="M40" s="61"/>
      <c r="N40" s="61"/>
      <c r="O40" s="61"/>
      <c r="P40" s="61"/>
      <c r="Q40" s="61"/>
    </row>
    <row r="41" spans="1:19" x14ac:dyDescent="0.3">
      <c r="A41" s="4"/>
      <c r="B41" s="103" t="s">
        <v>62</v>
      </c>
      <c r="C41" s="64"/>
      <c r="E41" s="101"/>
      <c r="F41" s="101">
        <f t="shared" ref="F41:I41" si="26">F39/(F23-E23)</f>
        <v>4.2418312643959316E-2</v>
      </c>
      <c r="G41" s="101">
        <f>G39/(G23-F23)</f>
        <v>-1.5903855455268357E-3</v>
      </c>
      <c r="H41" s="101">
        <f t="shared" si="26"/>
        <v>3.6856419394166742E-2</v>
      </c>
      <c r="I41" s="101">
        <f t="shared" si="26"/>
        <v>-0.162417582417582</v>
      </c>
      <c r="J41" s="57"/>
      <c r="K41" s="57"/>
      <c r="L41" s="57"/>
    </row>
    <row r="42" spans="1:19" x14ac:dyDescent="0.3">
      <c r="E42" s="93"/>
      <c r="F42" s="93"/>
      <c r="G42" s="93"/>
      <c r="H42" s="93"/>
      <c r="I42" s="93"/>
      <c r="L42">
        <v>1</v>
      </c>
      <c r="M42">
        <f>L42+1</f>
        <v>2</v>
      </c>
      <c r="N42">
        <f t="shared" ref="N42:O42" si="27">M42+1</f>
        <v>3</v>
      </c>
      <c r="O42">
        <f t="shared" si="27"/>
        <v>4</v>
      </c>
      <c r="P42" s="61"/>
      <c r="Q42" s="61"/>
      <c r="R42" s="61"/>
      <c r="S42" s="61"/>
    </row>
    <row r="43" spans="1:19" x14ac:dyDescent="0.3">
      <c r="A43" s="4" t="s">
        <v>2</v>
      </c>
      <c r="B43" s="5" t="s">
        <v>187</v>
      </c>
      <c r="C43" s="5"/>
      <c r="D43" s="5"/>
      <c r="E43" s="52">
        <f>2020</f>
        <v>2020</v>
      </c>
      <c r="F43" s="52">
        <f t="shared" ref="F43:O43" si="28">E43+1</f>
        <v>2021</v>
      </c>
      <c r="G43" s="52">
        <f t="shared" si="28"/>
        <v>2022</v>
      </c>
      <c r="H43" s="52">
        <f t="shared" si="28"/>
        <v>2023</v>
      </c>
      <c r="I43" s="86">
        <f t="shared" si="28"/>
        <v>2024</v>
      </c>
      <c r="J43" s="53">
        <f t="shared" si="28"/>
        <v>2025</v>
      </c>
      <c r="K43" s="53">
        <f t="shared" si="28"/>
        <v>2026</v>
      </c>
      <c r="L43" s="53">
        <f t="shared" si="28"/>
        <v>2027</v>
      </c>
      <c r="M43" s="53">
        <f t="shared" si="28"/>
        <v>2028</v>
      </c>
      <c r="N43" s="53">
        <f t="shared" si="28"/>
        <v>2029</v>
      </c>
      <c r="O43" s="53">
        <f t="shared" si="28"/>
        <v>2030</v>
      </c>
      <c r="P43" s="61"/>
      <c r="Q43" s="61"/>
      <c r="R43" s="61"/>
      <c r="S43" s="61"/>
    </row>
    <row r="44" spans="1:19" x14ac:dyDescent="0.3">
      <c r="B44" s="100" t="s">
        <v>52</v>
      </c>
      <c r="E44" s="94">
        <f t="shared" ref="E44:I45" si="29">E23</f>
        <v>178.57400000000001</v>
      </c>
      <c r="F44" s="94">
        <f t="shared" si="29"/>
        <v>276.69200000000001</v>
      </c>
      <c r="G44" s="94">
        <f t="shared" si="29"/>
        <v>398.67500000000001</v>
      </c>
      <c r="H44" s="94">
        <f t="shared" si="29"/>
        <v>334.697</v>
      </c>
      <c r="I44" s="94">
        <f>I23</f>
        <v>339.24700000000001</v>
      </c>
      <c r="J44" s="94">
        <f t="shared" ref="J44:N44" ca="1" si="30">I44*(1+J45)</f>
        <v>343.85885445343104</v>
      </c>
      <c r="K44" s="94">
        <f t="shared" ca="1" si="30"/>
        <v>351.0111186260624</v>
      </c>
      <c r="L44" s="94">
        <f t="shared" ca="1" si="30"/>
        <v>358.60419114418141</v>
      </c>
      <c r="M44" s="94">
        <f t="shared" ca="1" si="30"/>
        <v>366.67181004152559</v>
      </c>
      <c r="N44" s="94">
        <f t="shared" ca="1" si="30"/>
        <v>375.25089315528106</v>
      </c>
      <c r="O44" s="94">
        <f t="shared" ref="O44" ca="1" si="31">N44*(1+O45)</f>
        <v>384.38189492099241</v>
      </c>
      <c r="P44" s="61"/>
      <c r="Q44" s="61"/>
      <c r="R44" s="61"/>
      <c r="S44" s="61"/>
    </row>
    <row r="45" spans="1:19" ht="14.7" customHeight="1" x14ac:dyDescent="0.3">
      <c r="B45" s="102" t="s">
        <v>55</v>
      </c>
      <c r="E45" s="96">
        <f t="shared" si="29"/>
        <v>0</v>
      </c>
      <c r="F45" s="96">
        <f t="shared" si="29"/>
        <v>0.5494528878784144</v>
      </c>
      <c r="G45" s="96">
        <f t="shared" si="29"/>
        <v>0.4408620415480029</v>
      </c>
      <c r="H45" s="96">
        <f t="shared" si="29"/>
        <v>-0.16047657866683396</v>
      </c>
      <c r="I45" s="96">
        <f t="shared" si="29"/>
        <v>1.3594385369453565E-2</v>
      </c>
      <c r="J45" s="96">
        <f ca="1">OFFSET(J45,$E$12,0)</f>
        <v>1.3594385369453565E-2</v>
      </c>
      <c r="K45" s="96">
        <f t="shared" ref="K45:O45" ca="1" si="32">OFFSET(K45,$E$12,0)</f>
        <v>2.080000000000002E-2</v>
      </c>
      <c r="L45" s="96">
        <f t="shared" ca="1" si="32"/>
        <v>2.1632000000000023E-2</v>
      </c>
      <c r="M45" s="96">
        <f t="shared" ca="1" si="32"/>
        <v>2.2497280000000026E-2</v>
      </c>
      <c r="N45" s="96">
        <f t="shared" ca="1" si="32"/>
        <v>2.3397171200000028E-2</v>
      </c>
      <c r="O45" s="96">
        <f t="shared" ca="1" si="32"/>
        <v>2.4333058048000029E-2</v>
      </c>
      <c r="P45" s="85"/>
      <c r="Q45" s="61"/>
      <c r="R45" s="61"/>
      <c r="S45" s="61"/>
    </row>
    <row r="46" spans="1:19" x14ac:dyDescent="0.3">
      <c r="B46" s="102" t="s">
        <v>47</v>
      </c>
      <c r="J46" s="104">
        <f>$I$24-1%</f>
        <v>3.5943853694535653E-3</v>
      </c>
      <c r="K46" s="105">
        <f>K47*J12</f>
        <v>2.038400000000002E-2</v>
      </c>
      <c r="L46" s="105">
        <f>K46*$J$13</f>
        <v>1.997632000000002E-2</v>
      </c>
      <c r="M46" s="105">
        <f t="shared" ref="M46:O46" si="33">L46*$J$13</f>
        <v>1.957679360000002E-2</v>
      </c>
      <c r="N46" s="105">
        <f t="shared" si="33"/>
        <v>1.9185257728000019E-2</v>
      </c>
      <c r="O46" s="106">
        <f t="shared" si="33"/>
        <v>1.8801552573440017E-2</v>
      </c>
      <c r="P46" s="90"/>
      <c r="Q46" s="61"/>
      <c r="R46" s="61"/>
      <c r="S46" s="61"/>
    </row>
    <row r="47" spans="1:19" x14ac:dyDescent="0.3">
      <c r="B47" s="102" t="s">
        <v>63</v>
      </c>
      <c r="J47" s="66">
        <f>$I$24</f>
        <v>1.3594385369453565E-2</v>
      </c>
      <c r="K47" s="68">
        <v>2.080000000000002E-2</v>
      </c>
      <c r="L47" s="68">
        <f>K47*$O$13</f>
        <v>2.1632000000000023E-2</v>
      </c>
      <c r="M47" s="68">
        <f t="shared" ref="M47:O47" si="34">L47*$O$13</f>
        <v>2.2497280000000026E-2</v>
      </c>
      <c r="N47" s="68">
        <f t="shared" si="34"/>
        <v>2.3397171200000028E-2</v>
      </c>
      <c r="O47" s="89">
        <f t="shared" si="34"/>
        <v>2.4333058048000029E-2</v>
      </c>
      <c r="P47" s="91"/>
      <c r="Q47" s="61"/>
      <c r="R47" s="61"/>
      <c r="S47" s="61"/>
    </row>
    <row r="48" spans="1:19" x14ac:dyDescent="0.3">
      <c r="B48" s="102" t="s">
        <v>49</v>
      </c>
      <c r="J48" s="66">
        <f>$I$24+2%</f>
        <v>3.3594385369453569E-2</v>
      </c>
      <c r="K48" s="67">
        <f>K47*T12</f>
        <v>2.2256000000000022E-2</v>
      </c>
      <c r="L48" s="67">
        <f>K48*$T$13</f>
        <v>2.3813920000000027E-2</v>
      </c>
      <c r="M48" s="67">
        <f t="shared" ref="M48:O48" si="35">L48*$T$13</f>
        <v>2.548089440000003E-2</v>
      </c>
      <c r="N48" s="67">
        <f t="shared" si="35"/>
        <v>2.7264557008000033E-2</v>
      </c>
      <c r="O48" s="88">
        <f t="shared" si="35"/>
        <v>2.9173075998560036E-2</v>
      </c>
      <c r="P48" s="90"/>
      <c r="Q48" s="61"/>
      <c r="R48" s="61"/>
      <c r="S48" s="61"/>
    </row>
    <row r="49" spans="2:19" x14ac:dyDescent="0.3">
      <c r="P49" s="85"/>
      <c r="Q49" s="61"/>
      <c r="R49" s="61"/>
      <c r="S49" s="61"/>
    </row>
    <row r="50" spans="2:19" x14ac:dyDescent="0.3">
      <c r="B50" s="100" t="s">
        <v>0</v>
      </c>
      <c r="E50" s="94">
        <f t="shared" ref="E50:I51" si="36">E26</f>
        <v>-27.725000000000001</v>
      </c>
      <c r="F50" s="94">
        <f t="shared" si="36"/>
        <v>32.180999999999997</v>
      </c>
      <c r="G50" s="94">
        <f t="shared" si="36"/>
        <v>78.551000000000002</v>
      </c>
      <c r="H50" s="94">
        <f t="shared" si="36"/>
        <v>53.631999999999998</v>
      </c>
      <c r="I50" s="94">
        <f t="shared" si="36"/>
        <v>49.869</v>
      </c>
      <c r="J50" s="94">
        <f t="shared" ref="J50:M50" ca="1" si="37">J51*J44</f>
        <v>50.54693840398928</v>
      </c>
      <c r="K50" s="94">
        <f t="shared" ca="1" si="37"/>
        <v>51.623807961291661</v>
      </c>
      <c r="L50" s="94">
        <f t="shared" ca="1" si="37"/>
        <v>52.766578883344948</v>
      </c>
      <c r="M50" s="94">
        <f t="shared" ca="1" si="37"/>
        <v>53.980314026453939</v>
      </c>
      <c r="N50" s="94">
        <f t="shared" ref="N50" ca="1" si="38">N51*N44</f>
        <v>55.270554400210059</v>
      </c>
      <c r="O50" s="94">
        <f t="shared" ref="O50" ca="1" si="39">O51*O44</f>
        <v>57.657284238148861</v>
      </c>
      <c r="P50" s="85"/>
      <c r="Q50" s="61"/>
      <c r="R50" s="61"/>
      <c r="S50" s="61"/>
    </row>
    <row r="51" spans="2:19" x14ac:dyDescent="0.3">
      <c r="B51" s="102" t="s">
        <v>56</v>
      </c>
      <c r="E51" s="96">
        <f t="shared" si="36"/>
        <v>-0.15525776428819424</v>
      </c>
      <c r="F51" s="96">
        <f t="shared" si="36"/>
        <v>0.11630621774391742</v>
      </c>
      <c r="G51" s="96">
        <f t="shared" si="36"/>
        <v>0.19703016241299304</v>
      </c>
      <c r="H51" s="96">
        <f t="shared" si="36"/>
        <v>0.16024045629330408</v>
      </c>
      <c r="I51" s="96">
        <f t="shared" si="36"/>
        <v>0.14699908915922616</v>
      </c>
      <c r="J51" s="96">
        <f ca="1">OFFSET(J51,$E$13,0)</f>
        <v>0.14699908915922616</v>
      </c>
      <c r="K51" s="96">
        <f t="shared" ref="K51:O51" ca="1" si="40">OFFSET(K51,$E$13,0)</f>
        <v>0.14707171716770404</v>
      </c>
      <c r="L51" s="96">
        <f t="shared" ca="1" si="40"/>
        <v>0.14714434517618191</v>
      </c>
      <c r="M51" s="96">
        <f t="shared" ca="1" si="40"/>
        <v>0.14721697318465979</v>
      </c>
      <c r="N51" s="96">
        <f t="shared" ca="1" si="40"/>
        <v>0.14728960119313766</v>
      </c>
      <c r="O51" s="96">
        <f t="shared" ca="1" si="40"/>
        <v>0.15</v>
      </c>
      <c r="P51" s="85"/>
      <c r="Q51" s="61"/>
      <c r="R51" s="61"/>
      <c r="S51" s="61"/>
    </row>
    <row r="52" spans="2:19" x14ac:dyDescent="0.3">
      <c r="B52" s="102" t="s">
        <v>47</v>
      </c>
      <c r="J52" s="104">
        <f>I27-1%</f>
        <v>0.13699908915922615</v>
      </c>
      <c r="K52" s="105">
        <f>J52+(($P52-$J52)/($O$42-$I$43))</f>
        <v>0.1370669104904931</v>
      </c>
      <c r="L52" s="105">
        <f>K52+(($P52-$J52)/($O$42-$I$43))</f>
        <v>0.13713473182176006</v>
      </c>
      <c r="M52" s="105">
        <f>L52+(($P52-$J52)/($O$42-$I$43))</f>
        <v>0.13720255315302701</v>
      </c>
      <c r="N52" s="105">
        <f>M52+(($P52-$J52)/($O$42-$I$43))</f>
        <v>0.13727037448429397</v>
      </c>
      <c r="O52" s="106">
        <f>J14</f>
        <v>0.1</v>
      </c>
      <c r="P52" s="90"/>
      <c r="Q52" s="61"/>
      <c r="R52" s="61"/>
      <c r="S52" s="61"/>
    </row>
    <row r="53" spans="2:19" x14ac:dyDescent="0.3">
      <c r="B53" s="102" t="s">
        <v>63</v>
      </c>
      <c r="J53" s="66">
        <f>I27</f>
        <v>0.14699908915922616</v>
      </c>
      <c r="K53" s="67">
        <f t="shared" ref="K53:N54" si="41">J53+(($S53-$J53)/($S$43-$I$43))</f>
        <v>0.14707171716770404</v>
      </c>
      <c r="L53" s="67">
        <f t="shared" si="41"/>
        <v>0.14714434517618191</v>
      </c>
      <c r="M53" s="67">
        <f t="shared" si="41"/>
        <v>0.14721697318465979</v>
      </c>
      <c r="N53" s="67">
        <f t="shared" si="41"/>
        <v>0.14728960119313766</v>
      </c>
      <c r="O53" s="88">
        <f>O14</f>
        <v>0.15</v>
      </c>
      <c r="P53" s="90"/>
      <c r="Q53" s="61"/>
      <c r="R53" s="61"/>
      <c r="S53" s="61"/>
    </row>
    <row r="54" spans="2:19" x14ac:dyDescent="0.3">
      <c r="B54" s="102" t="s">
        <v>49</v>
      </c>
      <c r="J54" s="66">
        <f>J53+1%</f>
        <v>0.15699908915922617</v>
      </c>
      <c r="K54" s="67">
        <f t="shared" si="41"/>
        <v>0.1570766578791665</v>
      </c>
      <c r="L54" s="67">
        <f t="shared" si="41"/>
        <v>0.15715422659910683</v>
      </c>
      <c r="M54" s="67">
        <f t="shared" si="41"/>
        <v>0.15723179531904716</v>
      </c>
      <c r="N54" s="67">
        <f t="shared" si="41"/>
        <v>0.15730936403898749</v>
      </c>
      <c r="O54" s="88">
        <f>T14</f>
        <v>0.18</v>
      </c>
      <c r="P54" s="90"/>
      <c r="Q54" s="61"/>
      <c r="R54" s="61"/>
      <c r="S54" s="61"/>
    </row>
    <row r="55" spans="2:19" x14ac:dyDescent="0.3">
      <c r="B55" s="56"/>
      <c r="P55" s="85"/>
      <c r="Q55" s="61"/>
      <c r="R55" s="61"/>
      <c r="S55" s="61"/>
    </row>
    <row r="56" spans="2:19" x14ac:dyDescent="0.3">
      <c r="B56" s="100" t="s">
        <v>57</v>
      </c>
      <c r="E56" s="94">
        <f t="shared" ref="E56:I57" si="42">E29</f>
        <v>0</v>
      </c>
      <c r="F56" s="94">
        <f t="shared" si="42"/>
        <v>7.7234399999999992</v>
      </c>
      <c r="G56" s="94">
        <f t="shared" si="42"/>
        <v>20.423260000000003</v>
      </c>
      <c r="H56" s="94">
        <f t="shared" si="42"/>
        <v>15.553279999999999</v>
      </c>
      <c r="I56" s="94">
        <f t="shared" si="42"/>
        <v>13.963320000000001</v>
      </c>
      <c r="J56" s="94">
        <f t="shared" ref="J56:M56" ca="1" si="43">J57*J50</f>
        <v>14.160135412580003</v>
      </c>
      <c r="K56" s="94">
        <f t="shared" ca="1" si="43"/>
        <v>14.468949496186532</v>
      </c>
      <c r="L56" s="94">
        <f t="shared" ca="1" si="43"/>
        <v>14.796541260390942</v>
      </c>
      <c r="M56" s="94">
        <f t="shared" ca="1" si="43"/>
        <v>15.144358456907913</v>
      </c>
      <c r="N56" s="94">
        <f t="shared" ref="N56" ca="1" si="44">N57*N50</f>
        <v>15.513985852691381</v>
      </c>
      <c r="O56" s="94">
        <f t="shared" ref="O56" ca="1" si="45">O57*O50</f>
        <v>16.191897411543394</v>
      </c>
      <c r="P56" s="85"/>
      <c r="Q56" s="61"/>
      <c r="R56" s="61"/>
      <c r="S56" s="61"/>
    </row>
    <row r="57" spans="2:19" x14ac:dyDescent="0.3">
      <c r="B57" s="102" t="s">
        <v>58</v>
      </c>
      <c r="E57" s="96">
        <f t="shared" si="42"/>
        <v>0.19</v>
      </c>
      <c r="F57" s="96">
        <f t="shared" si="42"/>
        <v>0.24</v>
      </c>
      <c r="G57" s="96">
        <f t="shared" si="42"/>
        <v>0.26</v>
      </c>
      <c r="H57" s="96">
        <f t="shared" si="42"/>
        <v>0.28999999999999998</v>
      </c>
      <c r="I57" s="96">
        <f t="shared" si="42"/>
        <v>0.28000000000000003</v>
      </c>
      <c r="J57" s="121">
        <f>I57+(($S57-$I57)/($S$43-$I$43))</f>
        <v>0.28013833992094866</v>
      </c>
      <c r="K57" s="105">
        <f t="shared" ref="K57:O57" si="46">J57+(($S57-$I57)/($S$43-$I$43))</f>
        <v>0.2802766798418973</v>
      </c>
      <c r="L57" s="105">
        <f t="shared" si="46"/>
        <v>0.28041501976284594</v>
      </c>
      <c r="M57" s="105">
        <f t="shared" si="46"/>
        <v>0.28055335968379458</v>
      </c>
      <c r="N57" s="106">
        <f t="shared" si="46"/>
        <v>0.28069169960474322</v>
      </c>
      <c r="O57" s="105">
        <f t="shared" si="46"/>
        <v>0.28083003952569185</v>
      </c>
      <c r="P57" s="85"/>
      <c r="Q57" s="61"/>
      <c r="R57" s="61"/>
      <c r="S57" s="61"/>
    </row>
    <row r="58" spans="2:19" x14ac:dyDescent="0.3">
      <c r="P58" s="61"/>
      <c r="Q58" s="61"/>
      <c r="R58" s="61"/>
      <c r="S58" s="61"/>
    </row>
    <row r="59" spans="2:19" ht="15" customHeight="1" x14ac:dyDescent="0.3">
      <c r="B59" s="116" t="s">
        <v>64</v>
      </c>
      <c r="C59" s="117"/>
      <c r="D59" s="117"/>
      <c r="E59" s="117"/>
      <c r="F59" s="117"/>
      <c r="G59" s="117"/>
      <c r="H59" s="117"/>
      <c r="I59" s="118">
        <f>I50-I56</f>
        <v>35.905679999999997</v>
      </c>
      <c r="J59" s="119">
        <f t="shared" ref="J59:O59" ca="1" si="47">J50-J56</f>
        <v>36.386802991409276</v>
      </c>
      <c r="K59" s="119">
        <f t="shared" ca="1" si="47"/>
        <v>37.154858465105129</v>
      </c>
      <c r="L59" s="119">
        <f t="shared" ca="1" si="47"/>
        <v>37.97003762295401</v>
      </c>
      <c r="M59" s="119">
        <f t="shared" ca="1" si="47"/>
        <v>38.83595556954603</v>
      </c>
      <c r="N59" s="119">
        <f t="shared" ca="1" si="47"/>
        <v>39.756568547518683</v>
      </c>
      <c r="O59" s="120">
        <f t="shared" ca="1" si="47"/>
        <v>41.465386826605467</v>
      </c>
      <c r="P59" s="61"/>
      <c r="Q59" s="61"/>
      <c r="R59" s="61"/>
      <c r="S59" s="61"/>
    </row>
    <row r="60" spans="2:19" x14ac:dyDescent="0.3">
      <c r="P60" s="61"/>
      <c r="Q60" s="61"/>
      <c r="R60" s="61"/>
      <c r="S60" s="61"/>
    </row>
    <row r="61" spans="2:19" x14ac:dyDescent="0.3">
      <c r="B61" s="100" t="s">
        <v>59</v>
      </c>
      <c r="E61" s="108">
        <f t="shared" ref="E61:I62" si="48">E33</f>
        <v>20.709</v>
      </c>
      <c r="F61" s="108">
        <f t="shared" si="48"/>
        <v>20.606999999999999</v>
      </c>
      <c r="G61" s="108">
        <f t="shared" si="48"/>
        <v>24.04</v>
      </c>
      <c r="H61" s="108">
        <f t="shared" si="48"/>
        <v>20.640999999999998</v>
      </c>
      <c r="I61" s="108">
        <f t="shared" si="48"/>
        <v>23.442</v>
      </c>
      <c r="J61" s="108">
        <f t="shared" ref="J61:N61" ca="1" si="49">J62*J$44</f>
        <v>26.237502493422351</v>
      </c>
      <c r="K61" s="108">
        <f t="shared" ca="1" si="49"/>
        <v>26.783242545285535</v>
      </c>
      <c r="L61" s="108">
        <f t="shared" ca="1" si="49"/>
        <v>27.362617648025154</v>
      </c>
      <c r="M61" s="108">
        <f t="shared" ca="1" si="49"/>
        <v>27.978202118785717</v>
      </c>
      <c r="N61" s="108">
        <f t="shared" ca="1" si="49"/>
        <v>28.632812903627151</v>
      </c>
      <c r="O61" s="108">
        <f t="shared" ref="O61" ca="1" si="50">O62*O$44</f>
        <v>29.329536802088636</v>
      </c>
      <c r="P61" s="61"/>
      <c r="Q61" s="61"/>
      <c r="R61" s="61"/>
      <c r="S61" s="61"/>
    </row>
    <row r="62" spans="2:19" s="64" customFormat="1" x14ac:dyDescent="0.3">
      <c r="B62" s="103" t="s">
        <v>56</v>
      </c>
      <c r="E62" s="96">
        <f t="shared" si="48"/>
        <v>0.11596873005028727</v>
      </c>
      <c r="F62" s="96">
        <f t="shared" si="48"/>
        <v>7.4476313012302481E-2</v>
      </c>
      <c r="G62" s="96">
        <f t="shared" si="48"/>
        <v>6.0299742898350786E-2</v>
      </c>
      <c r="H62" s="96">
        <f t="shared" si="48"/>
        <v>6.1670705145250776E-2</v>
      </c>
      <c r="I62" s="96">
        <f t="shared" si="48"/>
        <v>6.9100095210864063E-2</v>
      </c>
      <c r="J62" s="109">
        <f>AVERAGE(E62:I62)</f>
        <v>7.6303117263411074E-2</v>
      </c>
      <c r="K62" s="96">
        <f t="shared" ref="K62:N62" si="51">J62</f>
        <v>7.6303117263411074E-2</v>
      </c>
      <c r="L62" s="96">
        <f t="shared" si="51"/>
        <v>7.6303117263411074E-2</v>
      </c>
      <c r="M62" s="96">
        <f t="shared" si="51"/>
        <v>7.6303117263411074E-2</v>
      </c>
      <c r="N62" s="96">
        <f t="shared" si="51"/>
        <v>7.6303117263411074E-2</v>
      </c>
      <c r="O62" s="96">
        <f t="shared" ref="O62" si="52">N62</f>
        <v>7.6303117263411074E-2</v>
      </c>
      <c r="P62" s="61"/>
      <c r="Q62" s="61"/>
      <c r="R62" s="61"/>
      <c r="S62" s="61"/>
    </row>
    <row r="63" spans="2:19" x14ac:dyDescent="0.3">
      <c r="P63" s="61"/>
      <c r="Q63" s="61"/>
      <c r="R63" s="61"/>
      <c r="S63" s="61"/>
    </row>
    <row r="64" spans="2:19" x14ac:dyDescent="0.3">
      <c r="B64" s="100" t="s">
        <v>60</v>
      </c>
      <c r="E64" s="108">
        <f t="shared" ref="E64:I65" si="53">E36</f>
        <v>17.282</v>
      </c>
      <c r="F64" s="108">
        <f t="shared" si="53"/>
        <v>12.076000000000001</v>
      </c>
      <c r="G64" s="108">
        <f t="shared" si="53"/>
        <v>18.407</v>
      </c>
      <c r="H64" s="108">
        <f t="shared" si="53"/>
        <v>21.919</v>
      </c>
      <c r="I64" s="108">
        <f t="shared" si="53"/>
        <v>24.306000000000001</v>
      </c>
      <c r="J64" s="108">
        <f t="shared" ref="J64" ca="1" si="54">J65*J$44</f>
        <v>22.263378017372286</v>
      </c>
      <c r="K64" s="108">
        <f t="shared" ref="K64" ca="1" si="55">K65*K$44</f>
        <v>22.726456280133629</v>
      </c>
      <c r="L64" s="108">
        <f t="shared" ref="L64" ca="1" si="56">L65*L$44</f>
        <v>23.218074982385481</v>
      </c>
      <c r="M64" s="108">
        <f t="shared" ref="M64" ca="1" si="57">M65*M$44</f>
        <v>23.740418516325203</v>
      </c>
      <c r="N64" s="108">
        <f t="shared" ref="N64" ca="1" si="58">N65*N$44</f>
        <v>24.295877152711316</v>
      </c>
      <c r="O64" s="108">
        <f t="shared" ref="O64" ca="1" si="59">O65*O$44</f>
        <v>24.88707014179532</v>
      </c>
      <c r="P64" s="61"/>
      <c r="Q64" s="61"/>
      <c r="R64" s="61"/>
      <c r="S64" s="61"/>
    </row>
    <row r="65" spans="2:20" s="64" customFormat="1" x14ac:dyDescent="0.3">
      <c r="B65" s="103" t="s">
        <v>56</v>
      </c>
      <c r="E65" s="96">
        <f t="shared" si="53"/>
        <v>9.6777806399587843E-2</v>
      </c>
      <c r="F65" s="96">
        <f t="shared" si="53"/>
        <v>4.3644196435025227E-2</v>
      </c>
      <c r="G65" s="96">
        <f t="shared" si="53"/>
        <v>4.6170439581112437E-2</v>
      </c>
      <c r="H65" s="96">
        <f t="shared" si="53"/>
        <v>6.548908415671488E-2</v>
      </c>
      <c r="I65" s="96">
        <f t="shared" si="53"/>
        <v>7.1646912131868523E-2</v>
      </c>
      <c r="J65" s="109">
        <f>AVERAGE(E65:I65)</f>
        <v>6.4745687740861785E-2</v>
      </c>
      <c r="K65" s="96">
        <f t="shared" ref="K65:N65" si="60">J65</f>
        <v>6.4745687740861785E-2</v>
      </c>
      <c r="L65" s="96">
        <f t="shared" si="60"/>
        <v>6.4745687740861785E-2</v>
      </c>
      <c r="M65" s="96">
        <f t="shared" si="60"/>
        <v>6.4745687740861785E-2</v>
      </c>
      <c r="N65" s="96">
        <f t="shared" si="60"/>
        <v>6.4745687740861785E-2</v>
      </c>
      <c r="O65" s="96">
        <f t="shared" ref="O65" si="61">N65</f>
        <v>6.4745687740861785E-2</v>
      </c>
      <c r="P65" s="61"/>
      <c r="Q65" s="61"/>
      <c r="R65" s="61"/>
      <c r="S65" s="61"/>
    </row>
    <row r="66" spans="2:20" x14ac:dyDescent="0.3">
      <c r="P66" s="61"/>
      <c r="Q66" s="61"/>
      <c r="R66" s="61"/>
      <c r="S66" s="61"/>
    </row>
    <row r="67" spans="2:20" x14ac:dyDescent="0.3">
      <c r="B67" s="100" t="s">
        <v>61</v>
      </c>
      <c r="E67" s="108">
        <f t="shared" ref="E67:I68" si="62">E39</f>
        <v>-1.653</v>
      </c>
      <c r="F67" s="108">
        <f t="shared" si="62"/>
        <v>4.1619999999999999</v>
      </c>
      <c r="G67" s="108">
        <f t="shared" si="62"/>
        <v>-0.19400000000000001</v>
      </c>
      <c r="H67" s="108">
        <f t="shared" si="62"/>
        <v>-2.3580000000000001</v>
      </c>
      <c r="I67" s="108">
        <f t="shared" si="62"/>
        <v>-0.73899999999999999</v>
      </c>
      <c r="J67" s="108">
        <f t="shared" ref="J67" ca="1" si="63">J68*J$44</f>
        <v>-0.26991644029732448</v>
      </c>
      <c r="K67" s="108">
        <f t="shared" ref="K67" ca="1" si="64">K68*K$44</f>
        <v>-0.2755307022555088</v>
      </c>
      <c r="L67" s="108">
        <f t="shared" ref="L67" ca="1" si="65">L68*L$44</f>
        <v>-0.28149098240670001</v>
      </c>
      <c r="M67" s="108">
        <f t="shared" ref="M67" ca="1" si="66">M68*M$44</f>
        <v>-0.28782376385537861</v>
      </c>
      <c r="N67" s="108">
        <f t="shared" ref="N67" ca="1" si="67">N68*N$44</f>
        <v>-0.2945580257337313</v>
      </c>
      <c r="O67" s="108">
        <f t="shared" ref="O67" ca="1" si="68">O68*O$44</f>
        <v>-0.30172552327241448</v>
      </c>
      <c r="P67" s="61"/>
      <c r="Q67" s="61"/>
      <c r="R67" s="61"/>
      <c r="S67" s="61"/>
    </row>
    <row r="68" spans="2:20" s="64" customFormat="1" x14ac:dyDescent="0.3">
      <c r="B68" s="103" t="s">
        <v>56</v>
      </c>
      <c r="E68" s="96">
        <f t="shared" si="62"/>
        <v>-9.2566667039994614E-3</v>
      </c>
      <c r="F68" s="96">
        <f t="shared" si="62"/>
        <v>1.5041996154568979E-2</v>
      </c>
      <c r="G68" s="96">
        <f t="shared" si="62"/>
        <v>-4.86611901925127E-4</v>
      </c>
      <c r="H68" s="96">
        <f t="shared" si="62"/>
        <v>-7.0451781760816502E-3</v>
      </c>
      <c r="I68" s="96">
        <f t="shared" si="62"/>
        <v>-2.1783538247943236E-3</v>
      </c>
      <c r="J68" s="109">
        <f>AVERAGE(E68:I68)</f>
        <v>-7.8496289044631645E-4</v>
      </c>
      <c r="K68" s="96">
        <f t="shared" ref="K68:N68" si="69">J68</f>
        <v>-7.8496289044631645E-4</v>
      </c>
      <c r="L68" s="96">
        <f t="shared" si="69"/>
        <v>-7.8496289044631645E-4</v>
      </c>
      <c r="M68" s="96">
        <f t="shared" si="69"/>
        <v>-7.8496289044631645E-4</v>
      </c>
      <c r="N68" s="96">
        <f t="shared" si="69"/>
        <v>-7.8496289044631645E-4</v>
      </c>
      <c r="O68" s="96">
        <f t="shared" ref="O68" si="70">N68</f>
        <v>-7.8496289044631645E-4</v>
      </c>
      <c r="P68" s="61"/>
      <c r="Q68" s="61"/>
      <c r="R68" s="61"/>
      <c r="S68" s="61"/>
    </row>
    <row r="69" spans="2:20" x14ac:dyDescent="0.3">
      <c r="P69" s="61"/>
      <c r="Q69" s="61"/>
      <c r="R69" s="61"/>
      <c r="S69" s="61"/>
    </row>
    <row r="70" spans="2:20" x14ac:dyDescent="0.3">
      <c r="P70" s="61"/>
      <c r="Q70" s="61"/>
      <c r="R70" s="61"/>
      <c r="S70" s="61"/>
    </row>
    <row r="71" spans="2:20" x14ac:dyDescent="0.3">
      <c r="B71" s="100" t="s">
        <v>65</v>
      </c>
      <c r="J71" s="110">
        <f ca="1" xml:space="preserve"> + J59 + J61 -J64-J67</f>
        <v>40.630843907756656</v>
      </c>
      <c r="K71" s="110">
        <f t="shared" ref="K71:O71" ca="1" si="71" xml:space="preserve"> + K59 + K61 -K64-K67</f>
        <v>41.487175432512544</v>
      </c>
      <c r="L71" s="110">
        <f t="shared" ca="1" si="71"/>
        <v>42.39607127100038</v>
      </c>
      <c r="M71" s="110">
        <f t="shared" ca="1" si="71"/>
        <v>43.361562935861919</v>
      </c>
      <c r="N71" s="110">
        <f t="shared" ca="1" si="71"/>
        <v>44.388062324168253</v>
      </c>
      <c r="O71" s="110">
        <f t="shared" ca="1" si="71"/>
        <v>46.209579010171204</v>
      </c>
      <c r="P71" s="9"/>
      <c r="Q71" s="9"/>
      <c r="R71" s="9"/>
      <c r="S71" s="9"/>
      <c r="T71" s="9"/>
    </row>
    <row r="72" spans="2:20" x14ac:dyDescent="0.3">
      <c r="B72" s="100" t="s">
        <v>181</v>
      </c>
      <c r="J72" s="110">
        <f ca="1">(J71*J75)/(1+dr)^J74</f>
        <v>8.7180843804612707</v>
      </c>
      <c r="K72" s="110">
        <f t="shared" ref="K72:O72" ca="1" si="72">K71/(1+dr)^K74</f>
        <v>37.191422766083704</v>
      </c>
      <c r="L72" s="110">
        <f t="shared" ca="1" si="72"/>
        <v>34.740592133159687</v>
      </c>
      <c r="M72" s="110">
        <f t="shared" ca="1" si="72"/>
        <v>32.478742687518064</v>
      </c>
      <c r="N72" s="110">
        <f t="shared" ca="1" si="72"/>
        <v>30.390870926662565</v>
      </c>
      <c r="O72" s="110">
        <f t="shared" ca="1" si="72"/>
        <v>28.919557854827364</v>
      </c>
      <c r="P72" s="9"/>
      <c r="Q72" s="9"/>
      <c r="R72" s="9"/>
      <c r="S72" s="9"/>
      <c r="T72" s="9"/>
    </row>
    <row r="74" spans="2:20" x14ac:dyDescent="0.3">
      <c r="B74" s="100" t="s">
        <v>182</v>
      </c>
      <c r="J74" s="111">
        <f>J75/2</f>
        <v>0.10833333333333334</v>
      </c>
      <c r="K74" s="111">
        <f>J75+1</f>
        <v>1.2166666666666668</v>
      </c>
      <c r="L74" s="111">
        <f>K74+1</f>
        <v>2.2166666666666668</v>
      </c>
      <c r="M74" s="111">
        <f t="shared" ref="M74:O74" si="73">L74+1</f>
        <v>3.2166666666666668</v>
      </c>
      <c r="N74" s="111">
        <f t="shared" si="73"/>
        <v>4.2166666666666668</v>
      </c>
      <c r="O74" s="111">
        <f t="shared" si="73"/>
        <v>5.2166666666666668</v>
      </c>
      <c r="P74" s="92"/>
      <c r="Q74" s="92"/>
      <c r="R74" s="92"/>
      <c r="S74" s="92"/>
      <c r="T74" s="92"/>
    </row>
    <row r="75" spans="2:20" x14ac:dyDescent="0.3">
      <c r="B75" s="100" t="s">
        <v>183</v>
      </c>
      <c r="J75" s="111">
        <f>YEARFRAC(C5,C6)</f>
        <v>0.21666666666666667</v>
      </c>
      <c r="N75" s="92"/>
      <c r="O75" s="92"/>
      <c r="P75" s="70"/>
      <c r="Q75" s="70"/>
      <c r="R75" s="70"/>
    </row>
    <row r="76" spans="2:20" x14ac:dyDescent="0.3">
      <c r="M76" s="71"/>
    </row>
    <row r="77" spans="2:20" x14ac:dyDescent="0.3">
      <c r="N77" s="113" t="s">
        <v>66</v>
      </c>
      <c r="O77" s="107">
        <f ca="1">(O71 *(1+tg))/(dr-tg)</f>
        <v>593.70535057371853</v>
      </c>
      <c r="Q77" s="69"/>
      <c r="S77" s="65"/>
    </row>
    <row r="78" spans="2:20" x14ac:dyDescent="0.3">
      <c r="N78" s="113" t="s">
        <v>184</v>
      </c>
      <c r="O78" s="107">
        <f ca="1">O77/(1+dr)^O74</f>
        <v>371.56140788164265</v>
      </c>
      <c r="Q78" s="69"/>
      <c r="S78" s="65"/>
    </row>
    <row r="80" spans="2:20" x14ac:dyDescent="0.3">
      <c r="N80" s="113" t="s">
        <v>67</v>
      </c>
      <c r="O80" s="110">
        <f ca="1">SUM(J71:O71,O78)</f>
        <v>630.03470276311361</v>
      </c>
      <c r="Q80" s="69"/>
      <c r="S80" s="9"/>
    </row>
    <row r="81" spans="14:20" x14ac:dyDescent="0.3">
      <c r="N81" s="113" t="s">
        <v>68</v>
      </c>
      <c r="O81" s="114">
        <v>39</v>
      </c>
      <c r="Q81" s="72"/>
      <c r="S81" s="75"/>
      <c r="T81" s="87"/>
    </row>
    <row r="82" spans="14:20" x14ac:dyDescent="0.3">
      <c r="N82" s="113" t="s">
        <v>69</v>
      </c>
      <c r="O82" s="107">
        <v>14.4</v>
      </c>
      <c r="Q82" s="73"/>
      <c r="S82" s="76"/>
    </row>
    <row r="83" spans="14:20" x14ac:dyDescent="0.3">
      <c r="N83" s="113" t="s">
        <v>70</v>
      </c>
      <c r="O83" s="110">
        <f ca="1">O80-O81+O82</f>
        <v>605.43470276311359</v>
      </c>
      <c r="Q83" s="9"/>
      <c r="S83" s="9"/>
    </row>
    <row r="84" spans="14:20" x14ac:dyDescent="0.3">
      <c r="N84" s="113" t="s">
        <v>71</v>
      </c>
      <c r="O84" s="100">
        <f>Shares!E16 / 1000</f>
        <v>4.344112</v>
      </c>
      <c r="Q84" s="9"/>
      <c r="S84" s="72"/>
    </row>
    <row r="85" spans="14:20" x14ac:dyDescent="0.3">
      <c r="N85" s="113" t="s">
        <v>72</v>
      </c>
      <c r="O85" s="112">
        <f ca="1">O83/O84</f>
        <v>139.36903624103468</v>
      </c>
      <c r="Q85" s="74"/>
      <c r="S85" s="70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B79B0-DC33-4D60-83A5-9BE62676A99B}">
  <dimension ref="A2:H22"/>
  <sheetViews>
    <sheetView showGridLines="0" zoomScale="90" zoomScaleNormal="130" workbookViewId="0">
      <selection activeCell="F18" sqref="F18"/>
    </sheetView>
  </sheetViews>
  <sheetFormatPr baseColWidth="10" defaultColWidth="8.6640625" defaultRowHeight="14.4" x14ac:dyDescent="0.3"/>
  <cols>
    <col min="1" max="1" width="3.44140625" customWidth="1"/>
    <col min="6" max="6" width="12.44140625" customWidth="1"/>
  </cols>
  <sheetData>
    <row r="2" spans="1:8" s="3" customFormat="1" ht="21" x14ac:dyDescent="0.4">
      <c r="B2" s="2" t="s">
        <v>11</v>
      </c>
    </row>
    <row r="4" spans="1:8" x14ac:dyDescent="0.3">
      <c r="B4" t="s">
        <v>12</v>
      </c>
    </row>
    <row r="5" spans="1:8" x14ac:dyDescent="0.3">
      <c r="B5" t="s">
        <v>13</v>
      </c>
    </row>
    <row r="7" spans="1:8" x14ac:dyDescent="0.3">
      <c r="A7" t="s">
        <v>2</v>
      </c>
      <c r="B7" s="7" t="s">
        <v>11</v>
      </c>
      <c r="C7" s="8"/>
      <c r="D7" s="8"/>
      <c r="E7" s="8"/>
      <c r="F7" s="8"/>
    </row>
    <row r="8" spans="1:8" x14ac:dyDescent="0.3">
      <c r="B8" t="s">
        <v>14</v>
      </c>
      <c r="F8" s="15">
        <v>478</v>
      </c>
    </row>
    <row r="9" spans="1:8" x14ac:dyDescent="0.3">
      <c r="B9" t="s">
        <v>15</v>
      </c>
      <c r="F9" s="10">
        <f>F8/$F$20</f>
        <v>0.92456479690522242</v>
      </c>
    </row>
    <row r="10" spans="1:8" x14ac:dyDescent="0.3">
      <c r="B10" t="s">
        <v>16</v>
      </c>
      <c r="F10" s="11">
        <f>F11+F12*F13</f>
        <v>0.10564000000000001</v>
      </c>
    </row>
    <row r="11" spans="1:8" x14ac:dyDescent="0.3">
      <c r="B11" t="s">
        <v>17</v>
      </c>
      <c r="F11" s="12">
        <v>4.1840000000000002E-2</v>
      </c>
    </row>
    <row r="12" spans="1:8" x14ac:dyDescent="0.3">
      <c r="B12" t="s">
        <v>18</v>
      </c>
      <c r="F12" s="13">
        <v>1.1000000000000001</v>
      </c>
    </row>
    <row r="13" spans="1:8" x14ac:dyDescent="0.3">
      <c r="B13" t="s">
        <v>19</v>
      </c>
      <c r="F13" s="12">
        <v>5.8000000000000003E-2</v>
      </c>
      <c r="H13" s="14"/>
    </row>
    <row r="15" spans="1:8" x14ac:dyDescent="0.3">
      <c r="B15" t="s">
        <v>20</v>
      </c>
      <c r="F15" s="15">
        <v>39</v>
      </c>
    </row>
    <row r="16" spans="1:8" x14ac:dyDescent="0.3">
      <c r="B16" t="s">
        <v>21</v>
      </c>
      <c r="F16" s="10">
        <f>F15/$F$20</f>
        <v>7.5435203094777567E-2</v>
      </c>
    </row>
    <row r="17" spans="1:6" x14ac:dyDescent="0.3">
      <c r="B17" t="s">
        <v>22</v>
      </c>
      <c r="F17" s="12">
        <f xml:space="preserve"> 900 / 47710</f>
        <v>1.8863969817648291E-2</v>
      </c>
    </row>
    <row r="18" spans="1:6" x14ac:dyDescent="0.3">
      <c r="B18" t="s">
        <v>23</v>
      </c>
      <c r="F18" s="12">
        <f>DCF!I57</f>
        <v>0.28000000000000003</v>
      </c>
    </row>
    <row r="20" spans="1:6" x14ac:dyDescent="0.3">
      <c r="B20" t="s">
        <v>24</v>
      </c>
      <c r="F20" s="9">
        <f>F8+F15</f>
        <v>517</v>
      </c>
    </row>
    <row r="22" spans="1:6" x14ac:dyDescent="0.3">
      <c r="A22" t="s">
        <v>2</v>
      </c>
      <c r="B22" t="s">
        <v>11</v>
      </c>
      <c r="F22" s="11">
        <f>F9*F10+(F16*F17*(1-F18))</f>
        <v>9.8695590469012703E-2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9DB0D-78B7-47D8-8380-EAF6577F68DB}">
  <dimension ref="A2:G32"/>
  <sheetViews>
    <sheetView showGridLines="0" zoomScale="90" zoomScaleNormal="90" workbookViewId="0">
      <selection activeCell="E16" sqref="E16"/>
    </sheetView>
  </sheetViews>
  <sheetFormatPr baseColWidth="10" defaultColWidth="8.6640625" defaultRowHeight="14.4" x14ac:dyDescent="0.3"/>
  <cols>
    <col min="1" max="1" width="3.44140625" style="4" customWidth="1"/>
    <col min="2" max="2" width="36.44140625" bestFit="1" customWidth="1"/>
    <col min="3" max="5" width="15.6640625" customWidth="1"/>
  </cols>
  <sheetData>
    <row r="2" spans="1:7" s="3" customFormat="1" ht="21" x14ac:dyDescent="0.4">
      <c r="A2" s="1"/>
      <c r="B2" s="2" t="s">
        <v>25</v>
      </c>
    </row>
    <row r="3" spans="1:7" x14ac:dyDescent="0.3">
      <c r="B3" s="16"/>
    </row>
    <row r="4" spans="1:7" x14ac:dyDescent="0.3">
      <c r="A4" s="4" t="s">
        <v>2</v>
      </c>
      <c r="B4" s="17" t="s">
        <v>26</v>
      </c>
      <c r="C4" s="18"/>
      <c r="D4" s="18"/>
      <c r="E4" s="18"/>
    </row>
    <row r="5" spans="1:7" ht="4.95" customHeight="1" x14ac:dyDescent="0.3">
      <c r="B5" s="19"/>
      <c r="C5" s="20"/>
      <c r="D5" s="20"/>
      <c r="E5" s="20"/>
    </row>
    <row r="6" spans="1:7" x14ac:dyDescent="0.3">
      <c r="B6" s="21" t="s">
        <v>27</v>
      </c>
      <c r="E6" s="22">
        <v>110.73</v>
      </c>
      <c r="G6" s="23"/>
    </row>
    <row r="7" spans="1:7" ht="14.7" customHeight="1" x14ac:dyDescent="0.3">
      <c r="B7" s="24" t="s">
        <v>28</v>
      </c>
      <c r="E7" s="25">
        <v>4298</v>
      </c>
    </row>
    <row r="8" spans="1:7" ht="14.7" customHeight="1" x14ac:dyDescent="0.3">
      <c r="B8" s="21" t="s">
        <v>29</v>
      </c>
      <c r="E8" s="26">
        <v>0</v>
      </c>
    </row>
    <row r="9" spans="1:7" ht="14.7" customHeight="1" x14ac:dyDescent="0.3">
      <c r="B9" s="21" t="s">
        <v>30</v>
      </c>
      <c r="E9" s="27">
        <v>0</v>
      </c>
    </row>
    <row r="10" spans="1:7" ht="14.7" customHeight="1" x14ac:dyDescent="0.3">
      <c r="B10" s="21" t="s">
        <v>31</v>
      </c>
      <c r="E10" s="27">
        <f>E9/E6</f>
        <v>0</v>
      </c>
    </row>
    <row r="11" spans="1:7" ht="14.7" customHeight="1" x14ac:dyDescent="0.3">
      <c r="B11" s="21" t="s">
        <v>32</v>
      </c>
      <c r="E11" s="27">
        <f>E8-E10</f>
        <v>0</v>
      </c>
    </row>
    <row r="12" spans="1:7" ht="14.7" customHeight="1" x14ac:dyDescent="0.3">
      <c r="B12" s="21"/>
      <c r="E12" s="27"/>
    </row>
    <row r="13" spans="1:7" ht="14.7" customHeight="1" x14ac:dyDescent="0.3">
      <c r="B13" s="21" t="s">
        <v>33</v>
      </c>
      <c r="E13" s="25">
        <v>45.25</v>
      </c>
    </row>
    <row r="14" spans="1:7" ht="14.7" customHeight="1" x14ac:dyDescent="0.3">
      <c r="B14" s="21" t="s">
        <v>34</v>
      </c>
      <c r="E14" s="25">
        <v>0.86199999999999999</v>
      </c>
    </row>
    <row r="15" spans="1:7" ht="14.7" customHeight="1" x14ac:dyDescent="0.3">
      <c r="B15" s="21"/>
      <c r="E15" s="28"/>
    </row>
    <row r="16" spans="1:7" ht="14.7" customHeight="1" x14ac:dyDescent="0.3">
      <c r="B16" s="29" t="s">
        <v>35</v>
      </c>
      <c r="D16" s="30"/>
      <c r="E16" s="87">
        <f>E7+E11+E13+E14</f>
        <v>4344.1120000000001</v>
      </c>
      <c r="F16" t="s">
        <v>186</v>
      </c>
    </row>
    <row r="17" spans="1:7" x14ac:dyDescent="0.3">
      <c r="B17" s="29"/>
      <c r="D17" s="30"/>
      <c r="E17" s="31"/>
    </row>
    <row r="18" spans="1:7" x14ac:dyDescent="0.3">
      <c r="A18" s="4" t="s">
        <v>2</v>
      </c>
      <c r="B18" s="17" t="s">
        <v>36</v>
      </c>
      <c r="C18" s="18"/>
      <c r="D18" s="18"/>
      <c r="E18" s="18"/>
    </row>
    <row r="19" spans="1:7" ht="4.95" customHeight="1" x14ac:dyDescent="0.3">
      <c r="B19" s="19"/>
      <c r="C19" s="20"/>
      <c r="D19" s="20"/>
      <c r="E19" s="20"/>
    </row>
    <row r="20" spans="1:7" x14ac:dyDescent="0.3">
      <c r="C20" s="32" t="s">
        <v>37</v>
      </c>
      <c r="D20" s="32" t="s">
        <v>38</v>
      </c>
      <c r="E20" s="32" t="s">
        <v>39</v>
      </c>
    </row>
    <row r="21" spans="1:7" x14ac:dyDescent="0.3">
      <c r="B21" s="33">
        <v>1</v>
      </c>
      <c r="C21" s="25"/>
      <c r="D21" s="34"/>
      <c r="E21" s="35">
        <f>IF(D21&lt;$E$6,C21)</f>
        <v>0</v>
      </c>
      <c r="G21" s="23"/>
    </row>
    <row r="22" spans="1:7" x14ac:dyDescent="0.3">
      <c r="B22" s="33">
        <f t="shared" ref="B22:B30" si="0">B21+1</f>
        <v>2</v>
      </c>
      <c r="C22" s="25"/>
      <c r="D22" s="34"/>
      <c r="E22" s="35">
        <f t="shared" ref="E22:E30" si="1">IF(D22&lt;$E$6,C22)</f>
        <v>0</v>
      </c>
    </row>
    <row r="23" spans="1:7" x14ac:dyDescent="0.3">
      <c r="B23" s="33">
        <f t="shared" si="0"/>
        <v>3</v>
      </c>
      <c r="C23" s="25"/>
      <c r="D23" s="34"/>
      <c r="E23" s="35">
        <f t="shared" si="1"/>
        <v>0</v>
      </c>
    </row>
    <row r="24" spans="1:7" x14ac:dyDescent="0.3">
      <c r="B24" s="33">
        <f t="shared" si="0"/>
        <v>4</v>
      </c>
      <c r="C24" s="25"/>
      <c r="D24" s="34"/>
      <c r="E24" s="35">
        <f t="shared" si="1"/>
        <v>0</v>
      </c>
    </row>
    <row r="25" spans="1:7" x14ac:dyDescent="0.3">
      <c r="B25" s="33">
        <f t="shared" si="0"/>
        <v>5</v>
      </c>
      <c r="C25" s="25"/>
      <c r="D25" s="34"/>
      <c r="E25" s="35">
        <f t="shared" si="1"/>
        <v>0</v>
      </c>
    </row>
    <row r="26" spans="1:7" x14ac:dyDescent="0.3">
      <c r="B26" s="33">
        <f t="shared" si="0"/>
        <v>6</v>
      </c>
      <c r="C26" s="25"/>
      <c r="D26" s="34"/>
      <c r="E26" s="35">
        <f t="shared" si="1"/>
        <v>0</v>
      </c>
    </row>
    <row r="27" spans="1:7" x14ac:dyDescent="0.3">
      <c r="B27" s="33">
        <f t="shared" si="0"/>
        <v>7</v>
      </c>
      <c r="C27" s="25"/>
      <c r="D27" s="34"/>
      <c r="E27" s="35">
        <f t="shared" si="1"/>
        <v>0</v>
      </c>
    </row>
    <row r="28" spans="1:7" x14ac:dyDescent="0.3">
      <c r="B28" s="33">
        <f t="shared" si="0"/>
        <v>8</v>
      </c>
      <c r="C28" s="25"/>
      <c r="D28" s="34"/>
      <c r="E28" s="35">
        <f t="shared" si="1"/>
        <v>0</v>
      </c>
    </row>
    <row r="29" spans="1:7" x14ac:dyDescent="0.3">
      <c r="B29" s="33">
        <f t="shared" si="0"/>
        <v>9</v>
      </c>
      <c r="C29" s="25"/>
      <c r="D29" s="34"/>
      <c r="E29" s="35">
        <f t="shared" si="1"/>
        <v>0</v>
      </c>
    </row>
    <row r="30" spans="1:7" x14ac:dyDescent="0.3">
      <c r="B30" s="33">
        <f t="shared" si="0"/>
        <v>10</v>
      </c>
      <c r="C30" s="25"/>
      <c r="D30" s="34"/>
      <c r="E30" s="35">
        <f t="shared" si="1"/>
        <v>0</v>
      </c>
    </row>
    <row r="31" spans="1:7" ht="4.95" customHeight="1" x14ac:dyDescent="0.3">
      <c r="B31" s="36"/>
      <c r="C31" s="37"/>
      <c r="D31" s="37"/>
      <c r="E31" s="38"/>
    </row>
    <row r="32" spans="1:7" x14ac:dyDescent="0.3">
      <c r="A32" s="4" t="s">
        <v>2</v>
      </c>
      <c r="B32" s="39" t="s">
        <v>24</v>
      </c>
      <c r="C32" s="40"/>
      <c r="D32" s="40"/>
      <c r="E32" s="41">
        <f>SUM(E21:E30)</f>
        <v>0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D8B9F-A7C7-44CA-82FE-B53E1E74D84C}">
  <dimension ref="B1:AM64"/>
  <sheetViews>
    <sheetView topLeftCell="J6" workbookViewId="0">
      <selection activeCell="U21" sqref="U21"/>
    </sheetView>
  </sheetViews>
  <sheetFormatPr baseColWidth="10" defaultRowHeight="14.4" x14ac:dyDescent="0.3"/>
  <cols>
    <col min="3" max="3" width="18.21875" bestFit="1" customWidth="1"/>
    <col min="4" max="23" width="11.5546875" customWidth="1"/>
    <col min="30" max="30" width="17.5546875" bestFit="1" customWidth="1"/>
    <col min="31" max="31" width="20.6640625" bestFit="1" customWidth="1"/>
    <col min="32" max="32" width="13.6640625" customWidth="1"/>
    <col min="33" max="33" width="20.6640625" bestFit="1" customWidth="1"/>
    <col min="34" max="34" width="12.44140625" bestFit="1" customWidth="1"/>
    <col min="37" max="37" width="20.77734375" bestFit="1" customWidth="1"/>
  </cols>
  <sheetData>
    <row r="1" spans="2:39" ht="17.399999999999999" x14ac:dyDescent="0.3">
      <c r="B1" s="127"/>
      <c r="C1" s="128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30"/>
      <c r="Y1" s="130"/>
      <c r="Z1" s="130"/>
      <c r="AA1" s="130"/>
      <c r="AB1" s="130"/>
      <c r="AC1" s="130"/>
      <c r="AD1" s="130"/>
      <c r="AE1" s="130"/>
      <c r="AF1" s="130"/>
    </row>
    <row r="2" spans="2:39" ht="17.399999999999999" x14ac:dyDescent="0.3">
      <c r="B2" s="127"/>
      <c r="C2" s="127"/>
      <c r="D2" s="129" t="s">
        <v>208</v>
      </c>
      <c r="E2" s="129" t="s">
        <v>209</v>
      </c>
      <c r="F2" s="129" t="s">
        <v>210</v>
      </c>
      <c r="G2" s="129" t="s">
        <v>211</v>
      </c>
      <c r="H2" s="130"/>
      <c r="I2" s="130" t="s">
        <v>52</v>
      </c>
      <c r="J2" s="130"/>
      <c r="K2" s="130"/>
      <c r="L2" s="130" t="s">
        <v>212</v>
      </c>
      <c r="M2" s="130"/>
      <c r="N2" s="130" t="s">
        <v>213</v>
      </c>
      <c r="O2" s="130"/>
      <c r="P2" s="129"/>
      <c r="Q2" s="130" t="s">
        <v>214</v>
      </c>
      <c r="R2" s="130"/>
      <c r="S2" s="130" t="s">
        <v>215</v>
      </c>
      <c r="T2" s="130"/>
      <c r="U2" s="130" t="s">
        <v>216</v>
      </c>
      <c r="V2" s="130"/>
      <c r="W2" s="129"/>
      <c r="X2" s="130" t="s">
        <v>217</v>
      </c>
      <c r="Y2" s="130"/>
      <c r="Z2" s="130" t="s">
        <v>218</v>
      </c>
      <c r="AA2" s="130"/>
      <c r="AB2" s="130" t="s">
        <v>219</v>
      </c>
      <c r="AC2" s="130"/>
      <c r="AD2" s="130" t="s">
        <v>262</v>
      </c>
      <c r="AE2" s="130" t="s">
        <v>263</v>
      </c>
      <c r="AF2" s="130" t="s">
        <v>264</v>
      </c>
    </row>
    <row r="3" spans="2:39" ht="15.6" x14ac:dyDescent="0.3">
      <c r="B3" s="131" t="s">
        <v>42</v>
      </c>
      <c r="C3" s="131" t="s">
        <v>220</v>
      </c>
      <c r="D3" s="132" t="s">
        <v>221</v>
      </c>
      <c r="E3" s="132" t="s">
        <v>222</v>
      </c>
      <c r="F3" s="132" t="s">
        <v>223</v>
      </c>
      <c r="G3" s="132" t="s">
        <v>224</v>
      </c>
      <c r="H3" s="133"/>
      <c r="I3" s="133">
        <v>22</v>
      </c>
      <c r="J3" s="133" t="s">
        <v>225</v>
      </c>
      <c r="K3" s="133" t="s">
        <v>226</v>
      </c>
      <c r="L3" s="133" t="s">
        <v>225</v>
      </c>
      <c r="M3" s="133" t="s">
        <v>226</v>
      </c>
      <c r="N3" s="133" t="str">
        <f>L3</f>
        <v>'23</v>
      </c>
      <c r="O3" s="133" t="str">
        <f>M3</f>
        <v>'24</v>
      </c>
      <c r="P3" s="132"/>
      <c r="Q3" s="133" t="s">
        <v>227</v>
      </c>
      <c r="R3" s="133" t="s">
        <v>228</v>
      </c>
      <c r="S3" s="133" t="s">
        <v>225</v>
      </c>
      <c r="T3" s="133" t="s">
        <v>226</v>
      </c>
      <c r="U3" s="133" t="str">
        <f>S3</f>
        <v>'23</v>
      </c>
      <c r="V3" s="133" t="str">
        <f>T3</f>
        <v>'24</v>
      </c>
      <c r="W3" s="133"/>
      <c r="X3" s="133" t="s">
        <v>225</v>
      </c>
      <c r="Y3" s="133" t="s">
        <v>226</v>
      </c>
      <c r="Z3" s="133" t="s">
        <v>225</v>
      </c>
      <c r="AA3" s="133" t="s">
        <v>226</v>
      </c>
      <c r="AB3" s="133" t="s">
        <v>225</v>
      </c>
      <c r="AC3" s="133" t="s">
        <v>226</v>
      </c>
      <c r="AD3" s="133" t="s">
        <v>226</v>
      </c>
      <c r="AE3" s="133" t="s">
        <v>226</v>
      </c>
      <c r="AF3" s="133" t="s">
        <v>226</v>
      </c>
    </row>
    <row r="4" spans="2:39" ht="15.6" x14ac:dyDescent="0.3">
      <c r="B4" s="134"/>
      <c r="C4" s="134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</row>
    <row r="5" spans="2:39" ht="15.6" x14ac:dyDescent="0.3">
      <c r="B5" s="171" t="s">
        <v>124</v>
      </c>
      <c r="C5" s="100" t="s">
        <v>206</v>
      </c>
      <c r="D5" s="100">
        <v>112.24</v>
      </c>
      <c r="E5" s="110">
        <v>4318</v>
      </c>
      <c r="F5" s="110">
        <v>503140</v>
      </c>
      <c r="G5" s="110">
        <v>478500</v>
      </c>
      <c r="H5" s="100"/>
      <c r="I5" s="110">
        <v>413486</v>
      </c>
      <c r="J5" s="110">
        <v>344582</v>
      </c>
      <c r="K5" s="110">
        <v>349585</v>
      </c>
      <c r="L5" s="110">
        <v>68820</v>
      </c>
      <c r="M5" s="110">
        <v>59171</v>
      </c>
      <c r="N5" s="100">
        <v>36000</v>
      </c>
      <c r="O5" s="110">
        <v>36016</v>
      </c>
      <c r="P5" s="172"/>
      <c r="Q5" s="172">
        <f>J5/I5-1</f>
        <v>-0.16664167589712831</v>
      </c>
      <c r="R5" s="172">
        <f>K5/J5-1</f>
        <v>1.4519040460616139E-2</v>
      </c>
      <c r="S5" s="172">
        <f>L5/J5</f>
        <v>0.19972024075546604</v>
      </c>
      <c r="T5" s="172">
        <f>M5/K5</f>
        <v>0.16926069482386258</v>
      </c>
      <c r="U5" s="172">
        <f>N5/J5</f>
        <v>0.1044744066724321</v>
      </c>
      <c r="V5" s="172">
        <f>O5/K5</f>
        <v>0.10302501537537366</v>
      </c>
      <c r="W5" s="172"/>
      <c r="X5" s="173">
        <f t="shared" ref="X5:AC5" si="0">$G5/J5</f>
        <v>1.3886389886877435</v>
      </c>
      <c r="Y5" s="173">
        <f t="shared" si="0"/>
        <v>1.3687658223321939</v>
      </c>
      <c r="Z5" s="173">
        <f>$G5/L5</f>
        <v>6.9529206625980819</v>
      </c>
      <c r="AA5" s="173">
        <f>$G5/M5</f>
        <v>8.0867316759899275</v>
      </c>
      <c r="AB5" s="173">
        <f>$G5/N5</f>
        <v>13.291666666666666</v>
      </c>
      <c r="AC5" s="173">
        <f t="shared" si="0"/>
        <v>13.285761883607286</v>
      </c>
      <c r="AD5" s="173">
        <v>0.4</v>
      </c>
      <c r="AE5" s="174">
        <v>0.127</v>
      </c>
      <c r="AF5" s="173">
        <v>16.989999999999998</v>
      </c>
    </row>
    <row r="6" spans="2:39" ht="17.399999999999999" x14ac:dyDescent="0.3">
      <c r="B6" s="137"/>
      <c r="D6" s="4"/>
      <c r="E6" s="138"/>
      <c r="F6" s="138"/>
      <c r="G6" s="138"/>
      <c r="H6" s="139"/>
      <c r="I6" s="138"/>
      <c r="J6" s="138"/>
      <c r="K6" s="138"/>
      <c r="L6" s="138"/>
      <c r="M6" s="138"/>
      <c r="N6" s="138"/>
      <c r="O6" s="138"/>
      <c r="P6" s="139"/>
      <c r="Q6" s="139"/>
      <c r="R6" s="139"/>
      <c r="S6" s="139"/>
      <c r="T6" s="139"/>
      <c r="U6" s="139"/>
      <c r="V6" s="139"/>
      <c r="W6" s="139"/>
      <c r="X6" s="140"/>
      <c r="Y6" s="140"/>
      <c r="Z6" s="140"/>
      <c r="AA6" s="140"/>
      <c r="AB6" s="140"/>
      <c r="AC6" s="140"/>
      <c r="AD6" s="140"/>
      <c r="AE6" s="4"/>
      <c r="AF6" s="140"/>
      <c r="AK6" s="166" t="s">
        <v>261</v>
      </c>
      <c r="AL6" s="166" t="s">
        <v>230</v>
      </c>
      <c r="AM6" s="166" t="s">
        <v>229</v>
      </c>
    </row>
    <row r="7" spans="2:39" ht="17.399999999999999" x14ac:dyDescent="0.3">
      <c r="B7" s="171" t="s">
        <v>200</v>
      </c>
      <c r="C7" s="100" t="s">
        <v>207</v>
      </c>
      <c r="D7" s="100">
        <v>151.94</v>
      </c>
      <c r="E7" s="100">
        <v>1719</v>
      </c>
      <c r="F7" s="110">
        <v>334410</v>
      </c>
      <c r="G7" s="110">
        <v>308420</v>
      </c>
      <c r="H7" s="100"/>
      <c r="I7" s="110">
        <v>246200</v>
      </c>
      <c r="J7" s="110">
        <v>200949</v>
      </c>
      <c r="K7" s="110">
        <v>202792</v>
      </c>
      <c r="L7" s="100">
        <v>47379</v>
      </c>
      <c r="M7" s="110">
        <v>45382</v>
      </c>
      <c r="N7" s="100">
        <v>21369</v>
      </c>
      <c r="O7" s="110">
        <v>17661</v>
      </c>
      <c r="P7" s="172"/>
      <c r="Q7" s="172">
        <f>J7/I7-1</f>
        <v>-0.18379772542648254</v>
      </c>
      <c r="R7" s="172">
        <f>K7/J7-1</f>
        <v>9.1714813211312141E-3</v>
      </c>
      <c r="S7" s="172">
        <f>L7/J7</f>
        <v>0.23577624173297704</v>
      </c>
      <c r="T7" s="172">
        <f t="shared" ref="S7:T13" si="1">M7/K7</f>
        <v>0.22378594816363565</v>
      </c>
      <c r="U7" s="172">
        <f t="shared" ref="U7:V13" si="2">N7/J7</f>
        <v>0.1063404147320962</v>
      </c>
      <c r="V7" s="172">
        <f t="shared" si="2"/>
        <v>8.7089234289321082E-2</v>
      </c>
      <c r="W7" s="172"/>
      <c r="X7" s="173">
        <f t="shared" ref="X7:AA8" si="3">$G7/J7</f>
        <v>1.5348172919496987</v>
      </c>
      <c r="Y7" s="173">
        <f t="shared" si="3"/>
        <v>1.5208686733204466</v>
      </c>
      <c r="Z7" s="173">
        <f t="shared" si="3"/>
        <v>6.5096350703898356</v>
      </c>
      <c r="AA7" s="173">
        <f t="shared" si="3"/>
        <v>6.7960865541404081</v>
      </c>
      <c r="AB7" s="173">
        <f t="shared" ref="AB7:AC13" si="4">$G7/N7</f>
        <v>14.433057232439515</v>
      </c>
      <c r="AC7" s="173">
        <f t="shared" si="4"/>
        <v>17.463337296868808</v>
      </c>
      <c r="AD7" s="173">
        <v>0.7</v>
      </c>
      <c r="AE7" s="174">
        <v>7.5999999999999998E-2</v>
      </c>
      <c r="AF7" s="173">
        <v>16.920000000000002</v>
      </c>
      <c r="AK7" s="166" t="s">
        <v>217</v>
      </c>
      <c r="AL7" s="167">
        <f>(Y5/Y17) - 1</f>
        <v>1.0081323221060563</v>
      </c>
      <c r="AM7" s="167">
        <f>(Y5/Y16 )- 1</f>
        <v>0.66991006617551041</v>
      </c>
    </row>
    <row r="8" spans="2:39" ht="17.399999999999999" x14ac:dyDescent="0.3">
      <c r="B8" s="171" t="s">
        <v>201</v>
      </c>
      <c r="C8" s="100" t="s">
        <v>240</v>
      </c>
      <c r="D8" s="100">
        <v>72.08</v>
      </c>
      <c r="E8" s="110">
        <v>2974</v>
      </c>
      <c r="F8" s="110">
        <v>250890</v>
      </c>
      <c r="G8" s="110">
        <v>210090</v>
      </c>
      <c r="H8" s="100"/>
      <c r="I8" s="110">
        <v>381310</v>
      </c>
      <c r="J8" s="110">
        <v>316610</v>
      </c>
      <c r="K8" s="110">
        <v>284310</v>
      </c>
      <c r="L8" s="110">
        <v>68590</v>
      </c>
      <c r="M8" s="110">
        <v>61581</v>
      </c>
      <c r="N8" s="110">
        <v>19359</v>
      </c>
      <c r="O8" s="110">
        <v>16094</v>
      </c>
      <c r="P8" s="172"/>
      <c r="Q8" s="172">
        <f t="shared" ref="Q8:R13" si="5">J8/I8-1</f>
        <v>-0.16967821457606669</v>
      </c>
      <c r="R8" s="172">
        <f t="shared" si="5"/>
        <v>-0.10201825589842395</v>
      </c>
      <c r="S8" s="172">
        <f t="shared" si="1"/>
        <v>0.21663876693724141</v>
      </c>
      <c r="T8" s="172">
        <f t="shared" si="1"/>
        <v>0.21659807956104252</v>
      </c>
      <c r="U8" s="172">
        <f t="shared" si="2"/>
        <v>6.114462588042071E-2</v>
      </c>
      <c r="V8" s="172">
        <f t="shared" si="2"/>
        <v>5.6607224508459078E-2</v>
      </c>
      <c r="W8" s="172"/>
      <c r="X8" s="173">
        <f t="shared" si="3"/>
        <v>0.6635608477306465</v>
      </c>
      <c r="Y8" s="173">
        <f t="shared" si="3"/>
        <v>0.73894692413210927</v>
      </c>
      <c r="Z8" s="173">
        <f t="shared" si="3"/>
        <v>3.0629829421198425</v>
      </c>
      <c r="AA8" s="173">
        <f t="shared" si="3"/>
        <v>3.4116042285769961</v>
      </c>
      <c r="AB8" s="173">
        <f t="shared" si="4"/>
        <v>10.852316751898341</v>
      </c>
      <c r="AC8" s="173">
        <f t="shared" si="4"/>
        <v>13.053933142786132</v>
      </c>
      <c r="AD8" s="173">
        <v>0.8</v>
      </c>
      <c r="AE8" s="174">
        <v>9.6000000000000002E-2</v>
      </c>
      <c r="AF8" s="173">
        <v>7.81</v>
      </c>
      <c r="AK8" s="166" t="s">
        <v>218</v>
      </c>
      <c r="AL8" s="167">
        <f>(AA5/AA17) - 1</f>
        <v>1.153146137385753</v>
      </c>
      <c r="AM8" s="167">
        <f>(AA5/AA17) - 1</f>
        <v>1.153146137385753</v>
      </c>
    </row>
    <row r="9" spans="2:39" ht="17.399999999999999" x14ac:dyDescent="0.3">
      <c r="B9" s="171" t="s">
        <v>202</v>
      </c>
      <c r="C9" s="100" t="s">
        <v>241</v>
      </c>
      <c r="D9" s="100">
        <v>33.130000000000003</v>
      </c>
      <c r="E9" s="100">
        <v>2608</v>
      </c>
      <c r="F9" s="110">
        <v>127540</v>
      </c>
      <c r="G9" s="110">
        <v>86190</v>
      </c>
      <c r="H9" s="100"/>
      <c r="I9" s="100">
        <v>248891</v>
      </c>
      <c r="J9" s="110">
        <v>213032</v>
      </c>
      <c r="K9" s="110">
        <v>194629</v>
      </c>
      <c r="L9" s="110">
        <v>43276</v>
      </c>
      <c r="M9" s="110">
        <v>27919</v>
      </c>
      <c r="N9" s="110">
        <v>15238</v>
      </c>
      <c r="O9" s="110">
        <v>6782</v>
      </c>
      <c r="P9" s="172"/>
      <c r="Q9" s="172">
        <f t="shared" si="5"/>
        <v>-0.14407511721998789</v>
      </c>
      <c r="R9" s="172">
        <f t="shared" si="5"/>
        <v>-8.6386082842014322E-2</v>
      </c>
      <c r="S9" s="172">
        <f t="shared" si="1"/>
        <v>0.2031431897555297</v>
      </c>
      <c r="T9" s="172">
        <f t="shared" si="1"/>
        <v>0.14344727661345433</v>
      </c>
      <c r="U9" s="172">
        <f t="shared" si="2"/>
        <v>7.1529159938413009E-2</v>
      </c>
      <c r="V9" s="172">
        <f t="shared" si="2"/>
        <v>3.4845783516331073E-2</v>
      </c>
      <c r="W9" s="172"/>
      <c r="X9" s="173">
        <f t="shared" ref="X9" si="6">$G9/J9</f>
        <v>0.40458710428480227</v>
      </c>
      <c r="Y9" s="173">
        <f t="shared" ref="Y9" si="7">$G9/K9</f>
        <v>0.44284253631267695</v>
      </c>
      <c r="Z9" s="173">
        <f t="shared" ref="Z9" si="8">$G9/L9</f>
        <v>1.9916350864220354</v>
      </c>
      <c r="AA9" s="173">
        <f t="shared" ref="AA9" si="9">$G9/M9</f>
        <v>3.0871449550485335</v>
      </c>
      <c r="AB9" s="173">
        <f t="shared" si="4"/>
        <v>5.6562541015881349</v>
      </c>
      <c r="AC9" s="173">
        <f t="shared" si="4"/>
        <v>12.708640519020937</v>
      </c>
      <c r="AD9" s="173">
        <v>1.3</v>
      </c>
      <c r="AE9" s="174">
        <v>0.14199999999999999</v>
      </c>
      <c r="AF9" s="173">
        <v>10.34</v>
      </c>
      <c r="AK9" s="166" t="s">
        <v>219</v>
      </c>
      <c r="AL9" s="167">
        <f>(AC5/AC17)- 1</f>
        <v>4.5411730996920863E-2</v>
      </c>
      <c r="AM9" s="167">
        <f>(AC5/AC16) -1</f>
        <v>6.4132902440054984E-2</v>
      </c>
    </row>
    <row r="10" spans="2:39" ht="17.399999999999999" x14ac:dyDescent="0.3">
      <c r="B10" s="171" t="s">
        <v>203</v>
      </c>
      <c r="C10" s="100" t="s">
        <v>242</v>
      </c>
      <c r="D10" s="100">
        <v>61.59</v>
      </c>
      <c r="E10" s="100">
        <v>2277</v>
      </c>
      <c r="F10" s="110">
        <v>166280</v>
      </c>
      <c r="G10" s="110">
        <v>133330</v>
      </c>
      <c r="H10" s="100"/>
      <c r="I10" s="100">
        <v>263310</v>
      </c>
      <c r="J10" s="110">
        <v>218945</v>
      </c>
      <c r="K10" s="110">
        <v>195610</v>
      </c>
      <c r="L10" s="110">
        <v>47249</v>
      </c>
      <c r="M10" s="110">
        <v>35500</v>
      </c>
      <c r="N10" s="110">
        <v>21384</v>
      </c>
      <c r="O10" s="110">
        <v>15758</v>
      </c>
      <c r="P10" s="172"/>
      <c r="Q10" s="172">
        <f t="shared" si="5"/>
        <v>-0.16848961300368392</v>
      </c>
      <c r="R10" s="172">
        <f t="shared" si="5"/>
        <v>-0.10657927790084265</v>
      </c>
      <c r="S10" s="172">
        <f t="shared" si="1"/>
        <v>0.2158030555618991</v>
      </c>
      <c r="T10" s="172">
        <f t="shared" si="1"/>
        <v>0.18148356423495732</v>
      </c>
      <c r="U10" s="172">
        <f t="shared" si="2"/>
        <v>9.7668364201055055E-2</v>
      </c>
      <c r="V10" s="172">
        <f t="shared" si="2"/>
        <v>8.0558253668012877E-2</v>
      </c>
      <c r="W10" s="172"/>
      <c r="X10" s="173">
        <f t="shared" ref="X10:AA11" si="10">$G10/J10</f>
        <v>0.60896572198497334</v>
      </c>
      <c r="Y10" s="173">
        <f t="shared" si="10"/>
        <v>0.68161136956188328</v>
      </c>
      <c r="Z10" s="173">
        <f t="shared" si="10"/>
        <v>2.8218586636754215</v>
      </c>
      <c r="AA10" s="173">
        <f t="shared" si="10"/>
        <v>3.755774647887324</v>
      </c>
      <c r="AB10" s="173">
        <f t="shared" si="4"/>
        <v>6.2350355405910962</v>
      </c>
      <c r="AC10" s="173">
        <f t="shared" si="4"/>
        <v>8.4610991242543463</v>
      </c>
      <c r="AD10" s="173">
        <v>1.8</v>
      </c>
      <c r="AE10" s="174">
        <v>0.14799999999999999</v>
      </c>
      <c r="AF10" s="173">
        <v>12.38</v>
      </c>
      <c r="AK10" s="166" t="s">
        <v>215</v>
      </c>
      <c r="AL10" s="167">
        <f>(T5/T17) - 1</f>
        <v>-0.21854942035088143</v>
      </c>
      <c r="AM10" s="167">
        <f>(T5/T16) - 1</f>
        <v>-0.26909273898580033</v>
      </c>
    </row>
    <row r="11" spans="2:39" ht="17.399999999999999" x14ac:dyDescent="0.3">
      <c r="B11" s="171" t="s">
        <v>204</v>
      </c>
      <c r="C11" s="100" t="s">
        <v>243</v>
      </c>
      <c r="D11" s="100">
        <v>25.53</v>
      </c>
      <c r="E11" s="110">
        <v>2622</v>
      </c>
      <c r="F11" s="110">
        <v>73110</v>
      </c>
      <c r="G11" s="110">
        <v>59330</v>
      </c>
      <c r="H11" s="100"/>
      <c r="I11" s="110">
        <v>150806</v>
      </c>
      <c r="J11" s="110">
        <v>107174</v>
      </c>
      <c r="K11" s="110">
        <v>103774</v>
      </c>
      <c r="L11" s="110">
        <v>46351</v>
      </c>
      <c r="M11" s="110">
        <v>40834</v>
      </c>
      <c r="N11" s="110">
        <v>11904</v>
      </c>
      <c r="O11" s="110">
        <v>8829</v>
      </c>
      <c r="P11" s="172"/>
      <c r="Q11" s="172">
        <f t="shared" si="5"/>
        <v>-0.28932535840749041</v>
      </c>
      <c r="R11" s="172">
        <f t="shared" si="5"/>
        <v>-3.1724112191389708E-2</v>
      </c>
      <c r="S11" s="172">
        <f t="shared" si="1"/>
        <v>0.43248362475973651</v>
      </c>
      <c r="T11" s="172">
        <f t="shared" si="1"/>
        <v>0.39348969876847767</v>
      </c>
      <c r="U11" s="172">
        <f t="shared" si="2"/>
        <v>0.11107171515479501</v>
      </c>
      <c r="V11" s="172">
        <f t="shared" si="2"/>
        <v>8.5079114228997624E-2</v>
      </c>
      <c r="W11" s="172"/>
      <c r="X11" s="173">
        <f t="shared" si="10"/>
        <v>0.55358575773975027</v>
      </c>
      <c r="Y11" s="173">
        <f t="shared" si="10"/>
        <v>0.57172316765278397</v>
      </c>
      <c r="Z11" s="173">
        <f t="shared" si="10"/>
        <v>1.2800155336454446</v>
      </c>
      <c r="AA11" s="173">
        <f t="shared" si="10"/>
        <v>1.4529558701082432</v>
      </c>
      <c r="AB11" s="173">
        <f t="shared" si="4"/>
        <v>4.984038978494624</v>
      </c>
      <c r="AC11" s="173">
        <f t="shared" si="4"/>
        <v>6.7199003284630194</v>
      </c>
      <c r="AD11" s="173">
        <v>0.6</v>
      </c>
      <c r="AE11" s="175">
        <v>0.21</v>
      </c>
      <c r="AF11" s="173">
        <v>8.17</v>
      </c>
      <c r="AK11" s="166" t="s">
        <v>216</v>
      </c>
      <c r="AL11" s="167">
        <f>(V5/V17) - 1</f>
        <v>0.27888839050493996</v>
      </c>
      <c r="AM11" s="167">
        <f>(V5/V16) - 1</f>
        <v>0.47004507590593292</v>
      </c>
    </row>
    <row r="12" spans="2:39" ht="17.399999999999999" x14ac:dyDescent="0.3">
      <c r="B12" s="171" t="s">
        <v>205</v>
      </c>
      <c r="C12" s="100" t="s">
        <v>244</v>
      </c>
      <c r="D12" s="100">
        <v>34.799999999999997</v>
      </c>
      <c r="E12" s="110">
        <v>1525</v>
      </c>
      <c r="F12" s="110">
        <v>63410</v>
      </c>
      <c r="G12" s="110">
        <v>52020</v>
      </c>
      <c r="H12" s="100"/>
      <c r="I12" s="100">
        <v>132007</v>
      </c>
      <c r="J12" s="100">
        <v>119924</v>
      </c>
      <c r="K12" s="100">
        <v>98703</v>
      </c>
      <c r="L12" s="110">
        <v>17031</v>
      </c>
      <c r="M12" s="110">
        <v>12710</v>
      </c>
      <c r="N12" s="110">
        <v>6426</v>
      </c>
      <c r="O12" s="110">
        <v>2839</v>
      </c>
      <c r="P12" s="172"/>
      <c r="Q12" s="172">
        <f t="shared" si="5"/>
        <v>-9.1533024763838289E-2</v>
      </c>
      <c r="R12" s="172">
        <f t="shared" si="5"/>
        <v>-0.17695373736699915</v>
      </c>
      <c r="S12" s="172">
        <f t="shared" si="1"/>
        <v>0.14201494279710483</v>
      </c>
      <c r="T12" s="172">
        <f t="shared" si="1"/>
        <v>0.12877014883032936</v>
      </c>
      <c r="U12" s="172">
        <f t="shared" si="2"/>
        <v>5.3583936493112307E-2</v>
      </c>
      <c r="V12" s="172">
        <f t="shared" si="2"/>
        <v>2.8763056847309607E-2</v>
      </c>
      <c r="W12" s="172"/>
      <c r="X12" s="173">
        <f t="shared" ref="X12" si="11">$G12/J12</f>
        <v>0.43377472399186151</v>
      </c>
      <c r="Y12" s="173">
        <f t="shared" ref="Y12" si="12">$G12/K12</f>
        <v>0.52703565241178074</v>
      </c>
      <c r="Z12" s="173">
        <f t="shared" ref="Z12" si="13">$G12/L12</f>
        <v>3.0544301567729435</v>
      </c>
      <c r="AA12" s="173">
        <f t="shared" ref="AA12" si="14">$G12/M12</f>
        <v>4.092840283241542</v>
      </c>
      <c r="AB12" s="173">
        <f t="shared" si="4"/>
        <v>8.0952380952380949</v>
      </c>
      <c r="AC12" s="173">
        <f t="shared" si="4"/>
        <v>18.323353293413174</v>
      </c>
      <c r="AD12" s="173">
        <v>1.4</v>
      </c>
      <c r="AE12" s="174">
        <v>7.5999999999999998E-2</v>
      </c>
      <c r="AF12" s="173">
        <v>12.57</v>
      </c>
      <c r="AK12" s="166" t="s">
        <v>262</v>
      </c>
      <c r="AL12" s="167">
        <f>(AD5/AD17) - 1</f>
        <v>-0.55555555555555558</v>
      </c>
      <c r="AM12" s="167">
        <f>(AD5/AD16) - 1</f>
        <v>-0.62666666666666671</v>
      </c>
    </row>
    <row r="13" spans="2:39" ht="17.399999999999999" x14ac:dyDescent="0.3">
      <c r="B13" s="171" t="s">
        <v>245</v>
      </c>
      <c r="C13" s="100" t="s">
        <v>246</v>
      </c>
      <c r="D13" s="100">
        <v>42.85</v>
      </c>
      <c r="E13" s="100">
        <v>1225</v>
      </c>
      <c r="F13" s="110">
        <v>58580</v>
      </c>
      <c r="G13" s="110">
        <v>46820</v>
      </c>
      <c r="H13" s="100"/>
      <c r="I13" s="110">
        <v>46602</v>
      </c>
      <c r="J13" s="110">
        <v>45369</v>
      </c>
      <c r="K13" s="110">
        <v>37318</v>
      </c>
      <c r="L13" s="110">
        <v>13550</v>
      </c>
      <c r="M13" s="110">
        <v>12444</v>
      </c>
      <c r="N13" s="110">
        <v>8210</v>
      </c>
      <c r="O13" s="110">
        <v>4390</v>
      </c>
      <c r="P13" s="172"/>
      <c r="Q13" s="172">
        <f t="shared" si="5"/>
        <v>-2.645809192738513E-2</v>
      </c>
      <c r="R13" s="172">
        <f t="shared" si="5"/>
        <v>-0.17745597213956665</v>
      </c>
      <c r="S13" s="172">
        <f t="shared" si="1"/>
        <v>0.29866208203839628</v>
      </c>
      <c r="T13" s="172">
        <f t="shared" si="1"/>
        <v>0.33345838469371347</v>
      </c>
      <c r="U13" s="172">
        <f t="shared" si="2"/>
        <v>0.18096056778857811</v>
      </c>
      <c r="V13" s="172">
        <f t="shared" si="2"/>
        <v>0.1176376011576183</v>
      </c>
      <c r="W13" s="172"/>
      <c r="X13" s="173">
        <f>$G13/J13</f>
        <v>1.031982190482488</v>
      </c>
      <c r="Y13" s="173">
        <f>$G13/K13</f>
        <v>1.2546224342140522</v>
      </c>
      <c r="Z13" s="173">
        <f>$G13/L13</f>
        <v>3.4553505535055349</v>
      </c>
      <c r="AA13" s="173">
        <f>$G13/M13</f>
        <v>3.7624558019929282</v>
      </c>
      <c r="AB13" s="173">
        <f t="shared" si="4"/>
        <v>5.7028014616321556</v>
      </c>
      <c r="AC13" s="173">
        <f t="shared" si="4"/>
        <v>10.665148063781322</v>
      </c>
      <c r="AD13" s="173">
        <v>0.9</v>
      </c>
      <c r="AE13" s="174">
        <v>8.3500000000000005E-2</v>
      </c>
      <c r="AF13" s="173">
        <v>8.19</v>
      </c>
      <c r="AK13" s="166" t="s">
        <v>263</v>
      </c>
      <c r="AL13" s="167">
        <f>(AE5/AE17) - 1</f>
        <v>0.32291666666666674</v>
      </c>
      <c r="AM13" s="167">
        <f>(AE5/AE16) - 1</f>
        <v>6.9152134696331968E-2</v>
      </c>
    </row>
    <row r="14" spans="2:39" ht="17.399999999999999" x14ac:dyDescent="0.3">
      <c r="B14" s="137"/>
      <c r="F14" s="9"/>
      <c r="G14" s="9"/>
      <c r="I14" s="9"/>
      <c r="J14" s="9"/>
      <c r="K14" s="9"/>
      <c r="L14" s="9"/>
      <c r="M14" s="9"/>
      <c r="N14" s="9"/>
      <c r="O14" s="9"/>
      <c r="P14" s="141"/>
      <c r="Q14" s="141"/>
      <c r="R14" s="141"/>
      <c r="S14" s="141"/>
      <c r="T14" s="141"/>
      <c r="U14" s="141"/>
      <c r="V14" s="141"/>
      <c r="W14" s="141"/>
      <c r="X14" s="140"/>
      <c r="Y14" s="140"/>
      <c r="Z14" s="140"/>
      <c r="AA14" s="140"/>
      <c r="AB14" s="140"/>
      <c r="AC14" s="140"/>
      <c r="AF14" s="163"/>
      <c r="AH14" s="140"/>
      <c r="AK14" s="166" t="s">
        <v>264</v>
      </c>
      <c r="AL14" s="167">
        <f>(AF5/AF17) - 1</f>
        <v>0.64313346228239832</v>
      </c>
      <c r="AM14" s="167">
        <f>(AF5/AF17) - 1</f>
        <v>0.64313346228239832</v>
      </c>
    </row>
    <row r="15" spans="2:39" ht="15.6" x14ac:dyDescent="0.3">
      <c r="B15" s="137"/>
      <c r="G15" s="9"/>
      <c r="I15" s="9"/>
      <c r="J15" s="9"/>
      <c r="K15" s="9"/>
      <c r="L15" s="9"/>
      <c r="M15" s="9"/>
      <c r="N15" s="9"/>
      <c r="O15" s="9"/>
      <c r="P15" s="141"/>
      <c r="Q15" s="141"/>
      <c r="R15" s="141"/>
      <c r="S15" s="141"/>
      <c r="T15" s="141"/>
      <c r="U15" s="141"/>
      <c r="V15" s="141"/>
      <c r="W15" s="141"/>
      <c r="X15" s="140"/>
      <c r="Y15" s="140"/>
      <c r="Z15" s="140"/>
      <c r="AA15" s="140"/>
      <c r="AB15" s="140"/>
      <c r="AC15" s="140"/>
    </row>
    <row r="16" spans="2:39" ht="15.6" x14ac:dyDescent="0.3">
      <c r="B16" s="142" t="s">
        <v>229</v>
      </c>
      <c r="C16" s="143"/>
      <c r="D16" s="143"/>
      <c r="E16" s="143"/>
      <c r="F16" s="143"/>
      <c r="G16" s="143"/>
      <c r="H16" s="144"/>
      <c r="I16" s="144"/>
      <c r="J16" s="144"/>
      <c r="K16" s="144"/>
      <c r="L16" s="144"/>
      <c r="M16" s="144"/>
      <c r="N16" s="144"/>
      <c r="O16" s="144"/>
      <c r="P16" s="144"/>
      <c r="Q16" s="144">
        <f t="shared" ref="Q16:V16" si="15">AVERAGE(Q7:Q13)</f>
        <v>-0.15333673504641926</v>
      </c>
      <c r="R16" s="144">
        <f t="shared" si="15"/>
        <v>-9.599227957401503E-2</v>
      </c>
      <c r="S16" s="144">
        <f t="shared" si="15"/>
        <v>0.24921741479755499</v>
      </c>
      <c r="T16" s="144">
        <f t="shared" si="15"/>
        <v>0.23157615726651576</v>
      </c>
      <c r="U16" s="144">
        <f t="shared" si="15"/>
        <v>9.7471254884067202E-2</v>
      </c>
      <c r="V16" s="144">
        <f t="shared" si="15"/>
        <v>7.0082895459435662E-2</v>
      </c>
      <c r="W16" s="144"/>
      <c r="X16" s="145">
        <f t="shared" ref="X16:AC16" si="16">AVERAGE(X7:X13)</f>
        <v>0.7473248054520315</v>
      </c>
      <c r="Y16" s="145">
        <f t="shared" si="16"/>
        <v>0.81966439394367618</v>
      </c>
      <c r="Z16" s="145">
        <f t="shared" si="16"/>
        <v>3.1679868580758659</v>
      </c>
      <c r="AA16" s="145">
        <f t="shared" si="16"/>
        <v>3.7655517629994253</v>
      </c>
      <c r="AB16" s="145">
        <f t="shared" si="16"/>
        <v>7.9941060231259948</v>
      </c>
      <c r="AC16" s="146">
        <f t="shared" si="16"/>
        <v>12.485058824083962</v>
      </c>
      <c r="AD16" s="146">
        <f t="shared" ref="AD16:AF16" si="17">AVERAGE(AD7:AD13)</f>
        <v>1.0714285714285714</v>
      </c>
      <c r="AE16" s="164">
        <f>AVERAGE(AE7:AE13)</f>
        <v>0.11878571428571427</v>
      </c>
      <c r="AF16" s="146">
        <f t="shared" si="17"/>
        <v>10.911428571428571</v>
      </c>
    </row>
    <row r="17" spans="2:33" ht="15.6" x14ac:dyDescent="0.3">
      <c r="B17" s="147" t="s">
        <v>230</v>
      </c>
      <c r="C17" s="148"/>
      <c r="D17" s="148"/>
      <c r="E17" s="148"/>
      <c r="F17" s="148"/>
      <c r="G17" s="148"/>
      <c r="H17" s="149"/>
      <c r="I17" s="149"/>
      <c r="J17" s="149"/>
      <c r="K17" s="149"/>
      <c r="L17" s="149"/>
      <c r="M17" s="149"/>
      <c r="N17" s="149"/>
      <c r="O17" s="149"/>
      <c r="P17" s="149"/>
      <c r="Q17" s="149">
        <f t="shared" ref="Q17:V17" si="18">MEDIAN(Q7:Q13)</f>
        <v>-0.16848961300368392</v>
      </c>
      <c r="R17" s="149">
        <f t="shared" si="18"/>
        <v>-0.10201825589842395</v>
      </c>
      <c r="S17" s="149">
        <f t="shared" si="18"/>
        <v>0.21663876693724141</v>
      </c>
      <c r="T17" s="149">
        <f t="shared" si="18"/>
        <v>0.21659807956104252</v>
      </c>
      <c r="U17" s="149">
        <f t="shared" si="18"/>
        <v>9.7668364201055055E-2</v>
      </c>
      <c r="V17" s="149">
        <f t="shared" si="18"/>
        <v>8.0558253668012877E-2</v>
      </c>
      <c r="W17" s="149"/>
      <c r="X17" s="150">
        <f t="shared" ref="X17:AC17" si="19">MEDIAN(X7:X13)</f>
        <v>0.60896572198497334</v>
      </c>
      <c r="Y17" s="150">
        <f t="shared" si="19"/>
        <v>0.68161136956188328</v>
      </c>
      <c r="Z17" s="150">
        <f t="shared" si="19"/>
        <v>3.0544301567729435</v>
      </c>
      <c r="AA17" s="150">
        <f t="shared" si="19"/>
        <v>3.755774647887324</v>
      </c>
      <c r="AB17" s="150">
        <f t="shared" si="19"/>
        <v>6.2350355405910962</v>
      </c>
      <c r="AC17" s="151">
        <f t="shared" si="19"/>
        <v>12.708640519020937</v>
      </c>
      <c r="AD17" s="151">
        <f t="shared" ref="AD17:AF17" si="20">MEDIAN(AD7:AD13)</f>
        <v>0.9</v>
      </c>
      <c r="AE17" s="165">
        <f t="shared" si="20"/>
        <v>9.6000000000000002E-2</v>
      </c>
      <c r="AF17" s="151">
        <f t="shared" si="20"/>
        <v>10.34</v>
      </c>
    </row>
    <row r="18" spans="2:33" ht="15.6" x14ac:dyDescent="0.3">
      <c r="B18" s="134"/>
      <c r="C18" s="134"/>
      <c r="D18" s="135"/>
      <c r="E18" s="135"/>
      <c r="F18" s="135"/>
      <c r="G18" s="135"/>
      <c r="I18" s="135"/>
      <c r="J18" s="135"/>
      <c r="K18" s="135"/>
      <c r="L18" s="135"/>
      <c r="M18" s="135"/>
      <c r="N18" s="135"/>
      <c r="O18" s="135"/>
      <c r="P18" s="135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</row>
    <row r="19" spans="2:33" ht="17.399999999999999" x14ac:dyDescent="0.3">
      <c r="B19" s="127"/>
      <c r="C19" s="127"/>
      <c r="D19" s="130" t="s">
        <v>231</v>
      </c>
      <c r="E19" s="130"/>
      <c r="F19" s="130"/>
      <c r="G19" s="129"/>
      <c r="H19" s="130" t="s">
        <v>232</v>
      </c>
      <c r="I19" s="130"/>
      <c r="J19" s="130"/>
      <c r="K19" s="129"/>
      <c r="L19" s="130" t="s">
        <v>265</v>
      </c>
      <c r="M19" s="130"/>
      <c r="N19" s="130"/>
      <c r="O19" s="129"/>
      <c r="P19" s="129"/>
      <c r="Q19" s="130"/>
      <c r="R19" s="130"/>
      <c r="S19" s="130"/>
      <c r="T19" s="130" t="s">
        <v>266</v>
      </c>
      <c r="U19" s="130"/>
      <c r="V19" s="130"/>
      <c r="W19" s="129"/>
      <c r="X19" s="130" t="s">
        <v>75</v>
      </c>
      <c r="Y19" s="130"/>
      <c r="Z19" s="130"/>
      <c r="AA19" s="129"/>
      <c r="AB19" s="129"/>
      <c r="AC19" s="129"/>
      <c r="AG19" s="161"/>
    </row>
    <row r="20" spans="2:33" ht="15.6" x14ac:dyDescent="0.3">
      <c r="B20" s="131" t="s">
        <v>233</v>
      </c>
      <c r="C20" s="131"/>
      <c r="D20" s="132" t="s">
        <v>52</v>
      </c>
      <c r="E20" s="132" t="s">
        <v>212</v>
      </c>
      <c r="F20" s="132" t="s">
        <v>234</v>
      </c>
      <c r="G20" s="132"/>
      <c r="H20" s="132" t="s">
        <v>52</v>
      </c>
      <c r="I20" s="132" t="s">
        <v>212</v>
      </c>
      <c r="J20" s="132" t="s">
        <v>235</v>
      </c>
      <c r="K20" s="132"/>
      <c r="L20" s="132" t="s">
        <v>52</v>
      </c>
      <c r="M20" s="132" t="s">
        <v>212</v>
      </c>
      <c r="N20" s="132"/>
      <c r="O20" s="132"/>
      <c r="P20" s="132" t="s">
        <v>236</v>
      </c>
      <c r="Q20" s="132" t="s">
        <v>20</v>
      </c>
      <c r="R20" s="132" t="s">
        <v>237</v>
      </c>
      <c r="S20" s="132"/>
      <c r="T20" s="132" t="s">
        <v>52</v>
      </c>
      <c r="U20" s="132" t="s">
        <v>212</v>
      </c>
      <c r="V20" s="132" t="s">
        <v>213</v>
      </c>
      <c r="W20" s="132"/>
      <c r="X20" s="132" t="s">
        <v>52</v>
      </c>
      <c r="Y20" s="132" t="s">
        <v>212</v>
      </c>
      <c r="Z20" s="132" t="s">
        <v>213</v>
      </c>
      <c r="AA20" s="132"/>
      <c r="AB20" s="132"/>
      <c r="AC20" s="132"/>
      <c r="AG20" s="161"/>
    </row>
    <row r="21" spans="2:33" ht="15.6" x14ac:dyDescent="0.3">
      <c r="B21" s="134" t="s">
        <v>238</v>
      </c>
      <c r="C21" s="134"/>
      <c r="D21" s="152">
        <f>MIN(Y7:Y13)</f>
        <v>0.44284253631267695</v>
      </c>
      <c r="E21" s="152">
        <f>MIN(AA7:AA13)</f>
        <v>1.4529558701082432</v>
      </c>
      <c r="F21" s="152">
        <f>MIN(AC7:AC13)</f>
        <v>6.7199003284630194</v>
      </c>
      <c r="G21" s="135"/>
      <c r="H21" s="138">
        <f>K5</f>
        <v>349585</v>
      </c>
      <c r="I21" s="138">
        <f>M5</f>
        <v>59171</v>
      </c>
      <c r="J21" s="153">
        <f>$O$5/R21</f>
        <v>8.2909760589318608</v>
      </c>
      <c r="L21" s="138">
        <f>D21*H21</f>
        <v>154811.10805686718</v>
      </c>
      <c r="M21" s="138">
        <f>E21*I21</f>
        <v>85972.851790174856</v>
      </c>
      <c r="N21" s="138"/>
      <c r="P21" s="154">
        <v>14000</v>
      </c>
      <c r="Q21" s="154">
        <v>39000</v>
      </c>
      <c r="R21" s="155">
        <v>4344</v>
      </c>
      <c r="S21" s="9"/>
      <c r="T21" s="156">
        <f>L21+P21-Q21</f>
        <v>129811.10805686718</v>
      </c>
      <c r="U21" s="156">
        <f>M21+Q21-R21</f>
        <v>120628.85179017486</v>
      </c>
      <c r="V21" s="156">
        <f>J21*R21*F21</f>
        <v>242023.9302299241</v>
      </c>
      <c r="W21" s="136"/>
      <c r="X21" s="157">
        <f>T21/$R21</f>
        <v>29.882851762630565</v>
      </c>
      <c r="Y21" s="157">
        <f>U21/$R21</f>
        <v>27.769072695712445</v>
      </c>
      <c r="Z21" s="157">
        <f>V21/$R21</f>
        <v>55.714532741695237</v>
      </c>
      <c r="AB21" s="136"/>
      <c r="AC21" s="136"/>
    </row>
    <row r="22" spans="2:33" ht="15.6" x14ac:dyDescent="0.3">
      <c r="B22" s="134" t="s">
        <v>229</v>
      </c>
      <c r="C22" s="134"/>
      <c r="D22" s="152">
        <f>Y16</f>
        <v>0.81966439394367618</v>
      </c>
      <c r="E22" s="152">
        <f>AA16</f>
        <v>3.7655517629994253</v>
      </c>
      <c r="F22" s="152">
        <f>AC16</f>
        <v>12.485058824083962</v>
      </c>
      <c r="G22" s="135"/>
      <c r="H22" s="158">
        <f>H21</f>
        <v>349585</v>
      </c>
      <c r="I22" s="158">
        <f>I21</f>
        <v>59171</v>
      </c>
      <c r="J22" s="153">
        <f t="shared" ref="J22:J24" si="21">$O$5/R22</f>
        <v>8.2909760589318608</v>
      </c>
      <c r="K22" s="138"/>
      <c r="L22" s="138">
        <f t="shared" ref="L22:M24" si="22">D22*H22</f>
        <v>286542.37715680007</v>
      </c>
      <c r="M22" s="138">
        <f t="shared" si="22"/>
        <v>222811.463368439</v>
      </c>
      <c r="N22" s="138"/>
      <c r="P22" s="154">
        <v>14000</v>
      </c>
      <c r="Q22" s="154">
        <v>39000</v>
      </c>
      <c r="R22" s="155">
        <v>4344</v>
      </c>
      <c r="T22" s="156">
        <f t="shared" ref="T22:U24" si="23">L22+P22-Q22</f>
        <v>261542.37715680007</v>
      </c>
      <c r="U22" s="156">
        <f t="shared" si="23"/>
        <v>257467.463368439</v>
      </c>
      <c r="V22" s="156">
        <f t="shared" ref="V22:V24" si="24">J22*R22*F22</f>
        <v>449661.87860820798</v>
      </c>
      <c r="W22" s="136"/>
      <c r="X22" s="157">
        <f t="shared" ref="X22:X24" si="25">T22/$R22</f>
        <v>60.207729548066311</v>
      </c>
      <c r="Y22" s="157">
        <f t="shared" ref="Y22:Y24" si="26">U22/$R22</f>
        <v>59.269673887762202</v>
      </c>
      <c r="Z22" s="157">
        <f t="shared" ref="Z22:Z24" si="27">V22/$R22</f>
        <v>103.51332380483609</v>
      </c>
      <c r="AA22" s="136"/>
      <c r="AB22" s="136"/>
      <c r="AC22" s="136"/>
      <c r="AG22" s="161"/>
    </row>
    <row r="23" spans="2:33" ht="15.6" x14ac:dyDescent="0.3">
      <c r="B23" s="134" t="s">
        <v>230</v>
      </c>
      <c r="D23" s="152">
        <f t="shared" ref="D23" si="28">Y17</f>
        <v>0.68161136956188328</v>
      </c>
      <c r="E23" s="152">
        <f t="shared" ref="E23" si="29">AA17</f>
        <v>3.755774647887324</v>
      </c>
      <c r="F23" s="152">
        <f t="shared" ref="F23" si="30">AC17</f>
        <v>12.708640519020937</v>
      </c>
      <c r="G23" s="135"/>
      <c r="H23" s="158">
        <f t="shared" ref="H23:I24" si="31">H22</f>
        <v>349585</v>
      </c>
      <c r="I23" s="158">
        <f>I22</f>
        <v>59171</v>
      </c>
      <c r="J23" s="153">
        <f t="shared" si="21"/>
        <v>8.2909760589318608</v>
      </c>
      <c r="K23" s="138"/>
      <c r="L23" s="138">
        <f t="shared" si="22"/>
        <v>238281.11062829098</v>
      </c>
      <c r="M23" s="138">
        <f t="shared" si="22"/>
        <v>222232.94169014084</v>
      </c>
      <c r="N23" s="138"/>
      <c r="P23" s="154">
        <v>14000</v>
      </c>
      <c r="Q23" s="154">
        <v>39000</v>
      </c>
      <c r="R23" s="155">
        <v>4344</v>
      </c>
      <c r="T23" s="156">
        <f t="shared" si="23"/>
        <v>213281.11062829098</v>
      </c>
      <c r="U23" s="156">
        <f t="shared" si="23"/>
        <v>256888.94169014084</v>
      </c>
      <c r="V23" s="156">
        <f t="shared" si="24"/>
        <v>457714.3969330581</v>
      </c>
      <c r="W23" s="136"/>
      <c r="X23" s="157">
        <f t="shared" si="25"/>
        <v>49.097861562682084</v>
      </c>
      <c r="Y23" s="157">
        <f t="shared" si="26"/>
        <v>59.13649670583353</v>
      </c>
      <c r="Z23" s="157">
        <f t="shared" si="27"/>
        <v>105.36703428477396</v>
      </c>
      <c r="AA23" s="136"/>
      <c r="AB23" s="136"/>
      <c r="AC23" s="136"/>
      <c r="AG23" s="161"/>
    </row>
    <row r="24" spans="2:33" ht="15.6" x14ac:dyDescent="0.3">
      <c r="B24" s="134" t="s">
        <v>239</v>
      </c>
      <c r="C24" s="134"/>
      <c r="D24" s="152">
        <f>MAX(Y7:Y13)</f>
        <v>1.5208686733204466</v>
      </c>
      <c r="E24" s="152">
        <f>MAX(AA7:AA13)</f>
        <v>6.7960865541404081</v>
      </c>
      <c r="F24" s="152">
        <f>MAX(AC7:AC13)</f>
        <v>18.323353293413174</v>
      </c>
      <c r="G24" s="135"/>
      <c r="H24" s="158">
        <f t="shared" si="31"/>
        <v>349585</v>
      </c>
      <c r="I24" s="158">
        <f t="shared" si="31"/>
        <v>59171</v>
      </c>
      <c r="J24" s="153">
        <f t="shared" si="21"/>
        <v>8.2909760589318608</v>
      </c>
      <c r="K24" s="138"/>
      <c r="L24" s="138">
        <f>D24*H24</f>
        <v>531672.87516272836</v>
      </c>
      <c r="M24" s="138">
        <f t="shared" si="22"/>
        <v>402131.23749504209</v>
      </c>
      <c r="N24" s="138"/>
      <c r="P24" s="154">
        <v>14000</v>
      </c>
      <c r="Q24" s="154">
        <v>39000</v>
      </c>
      <c r="R24" s="155">
        <v>4344</v>
      </c>
      <c r="T24" s="156">
        <f t="shared" si="23"/>
        <v>506672.87516272836</v>
      </c>
      <c r="U24" s="156">
        <f t="shared" si="23"/>
        <v>436787.23749504209</v>
      </c>
      <c r="V24" s="156">
        <f t="shared" si="24"/>
        <v>659933.89221556892</v>
      </c>
      <c r="W24" s="136"/>
      <c r="X24" s="157">
        <f t="shared" si="25"/>
        <v>116.63740220136472</v>
      </c>
      <c r="Y24" s="157">
        <f t="shared" si="26"/>
        <v>100.54954822629882</v>
      </c>
      <c r="Z24" s="157">
        <f t="shared" si="27"/>
        <v>151.9184834750389</v>
      </c>
      <c r="AA24" s="136"/>
      <c r="AB24" s="136"/>
      <c r="AC24" s="136"/>
      <c r="AG24" s="162"/>
    </row>
    <row r="25" spans="2:33" x14ac:dyDescent="0.3">
      <c r="AG25" s="161"/>
    </row>
    <row r="36" spans="2:2" ht="18" x14ac:dyDescent="0.3">
      <c r="B36" s="159" t="s">
        <v>247</v>
      </c>
    </row>
    <row r="37" spans="2:2" x14ac:dyDescent="0.3">
      <c r="B37" s="125"/>
    </row>
    <row r="38" spans="2:2" x14ac:dyDescent="0.3">
      <c r="B38" s="126" t="s">
        <v>248</v>
      </c>
    </row>
    <row r="39" spans="2:2" x14ac:dyDescent="0.3">
      <c r="B39" s="125"/>
    </row>
    <row r="40" spans="2:2" x14ac:dyDescent="0.3">
      <c r="B40" s="126" t="s">
        <v>249</v>
      </c>
    </row>
    <row r="41" spans="2:2" x14ac:dyDescent="0.3">
      <c r="B41" s="125"/>
    </row>
    <row r="42" spans="2:2" x14ac:dyDescent="0.3">
      <c r="B42" s="126" t="s">
        <v>250</v>
      </c>
    </row>
    <row r="43" spans="2:2" x14ac:dyDescent="0.3">
      <c r="B43" s="125"/>
    </row>
    <row r="44" spans="2:2" x14ac:dyDescent="0.3">
      <c r="B44" s="126" t="s">
        <v>251</v>
      </c>
    </row>
    <row r="46" spans="2:2" x14ac:dyDescent="0.3">
      <c r="B46" s="87" t="s">
        <v>252</v>
      </c>
    </row>
    <row r="47" spans="2:2" x14ac:dyDescent="0.3">
      <c r="B47" s="125"/>
    </row>
    <row r="48" spans="2:2" x14ac:dyDescent="0.3">
      <c r="B48" s="126" t="s">
        <v>253</v>
      </c>
    </row>
    <row r="49" spans="2:2" x14ac:dyDescent="0.3">
      <c r="B49" s="125"/>
    </row>
    <row r="50" spans="2:2" x14ac:dyDescent="0.3">
      <c r="B50" s="126" t="s">
        <v>254</v>
      </c>
    </row>
    <row r="51" spans="2:2" x14ac:dyDescent="0.3">
      <c r="B51" s="125"/>
    </row>
    <row r="52" spans="2:2" x14ac:dyDescent="0.3">
      <c r="B52" s="126" t="s">
        <v>255</v>
      </c>
    </row>
    <row r="56" spans="2:2" ht="18" x14ac:dyDescent="0.3">
      <c r="B56" s="159" t="s">
        <v>256</v>
      </c>
    </row>
    <row r="57" spans="2:2" x14ac:dyDescent="0.3">
      <c r="B57" s="125"/>
    </row>
    <row r="58" spans="2:2" x14ac:dyDescent="0.3">
      <c r="B58" s="160" t="s">
        <v>257</v>
      </c>
    </row>
    <row r="59" spans="2:2" x14ac:dyDescent="0.3">
      <c r="B59" s="125"/>
    </row>
    <row r="60" spans="2:2" x14ac:dyDescent="0.3">
      <c r="B60" s="160" t="s">
        <v>258</v>
      </c>
    </row>
    <row r="61" spans="2:2" x14ac:dyDescent="0.3">
      <c r="B61" s="125"/>
    </row>
    <row r="62" spans="2:2" x14ac:dyDescent="0.3">
      <c r="B62" s="160" t="s">
        <v>259</v>
      </c>
    </row>
    <row r="63" spans="2:2" x14ac:dyDescent="0.3">
      <c r="B63" s="125"/>
    </row>
    <row r="64" spans="2:2" x14ac:dyDescent="0.3">
      <c r="B64" s="160" t="s">
        <v>260</v>
      </c>
    </row>
  </sheetData>
  <conditionalFormatting sqref="F5:F14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14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4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:M14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5:O14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3:P15 P7:P11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4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:R14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5:S14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:T14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5:U14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5:V14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5:X1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:Y1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:Z1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:AA1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:AB1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:AC1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:AD1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:AE13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:AF1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4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7:AM14">
    <cfRule type="cellIs" dxfId="1" priority="1" operator="lessThan">
      <formula>0</formula>
    </cfRule>
    <cfRule type="cellIs" dxfId="0" priority="2" operator="greaterThan">
      <formula>0</formula>
    </cfRule>
  </conditionalFormatting>
  <hyperlinks>
    <hyperlink ref="B58" r:id="rId1" display="https://www.macrotrends.net/stocks/charts/CVX/chevron/revenue?utm_source=chatgpt.com" xr:uid="{E714EB9E-2911-4D8D-BB89-E5463C8DD60B}"/>
    <hyperlink ref="B60" r:id="rId2" display="https://www.marketwatch.com/data-news/chevron-corp-stock-outperforms-competitors-on-strong-trading-day-fb9ecbbc-520ec3f9d302?utm_source=chatgpt.com" xr:uid="{91395975-DC96-4683-BC90-76A1FABF236C}"/>
    <hyperlink ref="B62" r:id="rId3" display="https://finance.yahoo.com/quote/CVX/key-statistics/?utm_source=chatgpt.com" xr:uid="{19410EC1-A047-437B-93D2-792CDF5E02C5}"/>
    <hyperlink ref="B64" r:id="rId4" display="https://finance.yahoo.com/quote/TTE.PA/key-statistics/?utm_source=chatgpt.com" xr:uid="{F5DF5237-7917-4FB7-B70B-41D4AEC0D9E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0315A-00C1-43B5-84C0-B52EC8F8B1A7}">
  <dimension ref="A1:F14"/>
  <sheetViews>
    <sheetView workbookViewId="0">
      <selection activeCell="E7" sqref="E7"/>
    </sheetView>
  </sheetViews>
  <sheetFormatPr baseColWidth="10" defaultRowHeight="14.4" x14ac:dyDescent="0.3"/>
  <sheetData>
    <row r="1" spans="1:6" x14ac:dyDescent="0.3">
      <c r="A1" s="168" t="s">
        <v>267</v>
      </c>
      <c r="B1" s="168" t="s">
        <v>268</v>
      </c>
      <c r="C1" s="168" t="s">
        <v>269</v>
      </c>
      <c r="D1" s="168" t="s">
        <v>270</v>
      </c>
      <c r="E1" s="168" t="s">
        <v>272</v>
      </c>
      <c r="F1" s="168" t="s">
        <v>274</v>
      </c>
    </row>
    <row r="2" spans="1:6" ht="28.8" x14ac:dyDescent="0.3">
      <c r="A2" s="169" t="s">
        <v>275</v>
      </c>
      <c r="B2" s="169">
        <v>29.88</v>
      </c>
      <c r="C2" s="169">
        <v>49.1</v>
      </c>
      <c r="D2" s="169">
        <v>116.64</v>
      </c>
      <c r="E2" s="169">
        <f t="shared" ref="E2:E7" si="0">B2</f>
        <v>29.88</v>
      </c>
      <c r="F2" s="169">
        <f t="shared" ref="F2:F7" si="1">D2-B2</f>
        <v>86.76</v>
      </c>
    </row>
    <row r="3" spans="1:6" ht="28.8" x14ac:dyDescent="0.3">
      <c r="A3" s="169" t="s">
        <v>276</v>
      </c>
      <c r="B3" s="169">
        <v>27.77</v>
      </c>
      <c r="C3" s="169">
        <v>59.14</v>
      </c>
      <c r="D3" s="169">
        <v>100.55</v>
      </c>
      <c r="E3" s="169">
        <f t="shared" si="0"/>
        <v>27.77</v>
      </c>
      <c r="F3" s="169">
        <f t="shared" si="1"/>
        <v>72.78</v>
      </c>
    </row>
    <row r="4" spans="1:6" ht="43.2" x14ac:dyDescent="0.3">
      <c r="A4" s="169" t="s">
        <v>277</v>
      </c>
      <c r="B4" s="169">
        <v>55.71</v>
      </c>
      <c r="C4" s="169">
        <v>105.37</v>
      </c>
      <c r="D4" s="169">
        <v>151.91999999999999</v>
      </c>
      <c r="E4" s="169">
        <f t="shared" si="0"/>
        <v>55.71</v>
      </c>
      <c r="F4" s="169">
        <f t="shared" si="1"/>
        <v>96.20999999999998</v>
      </c>
    </row>
    <row r="5" spans="1:6" x14ac:dyDescent="0.3">
      <c r="A5" s="169" t="s">
        <v>273</v>
      </c>
      <c r="B5" s="169">
        <v>97.6</v>
      </c>
      <c r="C5" s="169">
        <v>139.37</v>
      </c>
      <c r="D5" s="169">
        <v>185.88</v>
      </c>
      <c r="E5" s="169">
        <f t="shared" si="0"/>
        <v>97.6</v>
      </c>
      <c r="F5" s="169">
        <f t="shared" si="1"/>
        <v>88.28</v>
      </c>
    </row>
    <row r="6" spans="1:6" ht="28.8" x14ac:dyDescent="0.3">
      <c r="A6" s="169" t="s">
        <v>271</v>
      </c>
      <c r="B6" s="169">
        <v>41.9</v>
      </c>
      <c r="C6" s="169">
        <v>76.7</v>
      </c>
      <c r="D6" s="169">
        <v>111.4</v>
      </c>
      <c r="E6" s="169">
        <f t="shared" si="0"/>
        <v>41.9</v>
      </c>
      <c r="F6" s="169">
        <f t="shared" si="1"/>
        <v>69.5</v>
      </c>
    </row>
    <row r="7" spans="1:6" x14ac:dyDescent="0.3">
      <c r="A7" t="s">
        <v>278</v>
      </c>
      <c r="B7">
        <v>105</v>
      </c>
      <c r="C7">
        <v>125.81</v>
      </c>
      <c r="D7">
        <v>156</v>
      </c>
      <c r="E7" s="169">
        <f t="shared" si="0"/>
        <v>105</v>
      </c>
      <c r="F7" s="169">
        <f t="shared" si="1"/>
        <v>51</v>
      </c>
    </row>
    <row r="8" spans="1:6" x14ac:dyDescent="0.3">
      <c r="E8" s="169"/>
      <c r="F8" s="169"/>
    </row>
    <row r="14" spans="1:6" x14ac:dyDescent="0.3">
      <c r="B14" s="170"/>
      <c r="C14" s="17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F044E7-89B1-413B-9F69-121CCCE477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6</vt:i4>
      </vt:variant>
    </vt:vector>
  </HeadingPairs>
  <TitlesOfParts>
    <vt:vector size="14" baseType="lpstr">
      <vt:lpstr>CashFlow</vt:lpstr>
      <vt:lpstr>P&amp;L</vt:lpstr>
      <vt:lpstr>Cover</vt:lpstr>
      <vt:lpstr>DCF</vt:lpstr>
      <vt:lpstr>WACC</vt:lpstr>
      <vt:lpstr>Shares</vt:lpstr>
      <vt:lpstr>Comps</vt:lpstr>
      <vt:lpstr>Charts</vt:lpstr>
      <vt:lpstr>dr</vt:lpstr>
      <vt:lpstr>EBIT</vt:lpstr>
      <vt:lpstr>Rev</vt:lpstr>
      <vt:lpstr>tg</vt:lpstr>
      <vt:lpstr>TGR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Aitor BERNAL</cp:lastModifiedBy>
  <dcterms:created xsi:type="dcterms:W3CDTF">2024-12-04T20:03:55Z</dcterms:created>
  <dcterms:modified xsi:type="dcterms:W3CDTF">2025-11-15T22:37:01Z</dcterms:modified>
</cp:coreProperties>
</file>